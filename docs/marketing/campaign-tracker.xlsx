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Outreach" sheetId="1" state="visible" r:id="rId1"/>
    <sheet name="Creators" sheetId="2" state="visible" r:id="rId2"/>
    <sheet name="Communities" sheetId="3" state="visible" r:id="rId3"/>
    <sheet name="Weekly Review" sheetId="4" state="visible" r:id="rId4"/>
    <sheet name="UTM Legend" sheetId="5" state="visible" r:id="rId5"/>
    <sheet name="Web Funnel Tracker" sheetId="6" state="visible" r:id="rId6"/>
    <sheet name="App Store Funnel Tracker" sheetId="7" state="visible" r:id="rId7"/>
    <sheet name="Goal Tracker"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7F7F7F"/>
      <sz val="10"/>
    </font>
    <font>
      <name val="Arial"/>
      <charset val="1"/>
      <family val="0"/>
      <b val="1"/>
      <color rgb="FFFFFFFF"/>
      <sz val="11"/>
    </font>
    <font>
      <name val="Arial"/>
      <charset val="1"/>
      <family val="0"/>
      <color rgb="FF0000FF"/>
      <sz val="11"/>
    </font>
    <font>
      <name val="Arial"/>
      <charset val="1"/>
      <family val="0"/>
      <color rgb="FF000000"/>
      <sz val="11"/>
    </font>
    <font>
      <name val="Arial"/>
      <charset val="1"/>
      <family val="0"/>
      <b val="1"/>
      <sz val="12"/>
    </font>
    <font>
      <name val="Arial"/>
      <charset val="1"/>
      <family val="0"/>
      <b val="1"/>
      <sz val="11"/>
    </font>
    <font>
      <b val="1"/>
      <color rgb="00FFFFFF"/>
    </font>
  </fonts>
  <fills count="4">
    <fill>
      <patternFill/>
    </fill>
    <fill>
      <patternFill patternType="gray125"/>
    </fill>
    <fill>
      <patternFill patternType="solid">
        <fgColor rgb="FF1F3864"/>
        <bgColor rgb="FF333333"/>
      </patternFill>
    </fill>
    <fill>
      <patternFill patternType="solid">
        <fgColor rgb="001C191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0" borderId="0" applyAlignment="1" pivotButton="0" quotePrefix="0" xfId="0">
      <alignment horizontal="general" vertical="bottom"/>
    </xf>
    <xf numFmtId="164" fontId="8" fillId="0" borderId="1" applyAlignment="1" pivotButton="0" quotePrefix="0" xfId="0">
      <alignment horizontal="general" vertical="bottom"/>
    </xf>
    <xf numFmtId="0" fontId="7" fillId="0" borderId="1" applyAlignment="1" pivotButton="0" quotePrefix="0" xfId="0">
      <alignment horizontal="general" vertical="bottom"/>
    </xf>
    <xf numFmtId="0" fontId="10" fillId="0" borderId="1" applyAlignment="1" pivotButton="0" quotePrefix="0" xfId="0">
      <alignment horizontal="general" vertical="bottom"/>
    </xf>
    <xf numFmtId="164" fontId="10" fillId="0" borderId="1" applyAlignment="1" pivotButton="0" quotePrefix="0" xfId="0">
      <alignment horizontal="general" vertical="bottom"/>
    </xf>
    <xf numFmtId="0" fontId="5" fillId="0" borderId="0" applyAlignment="1" pivotButton="0" quotePrefix="0" xfId="0">
      <alignment horizontal="general" vertical="bottom"/>
    </xf>
    <xf numFmtId="0" fontId="8" fillId="0" borderId="1" applyAlignment="1" pivotButton="0" quotePrefix="0" xfId="0">
      <alignment horizontal="general" vertical="bottom"/>
    </xf>
    <xf numFmtId="0" fontId="0" fillId="0" borderId="1" applyAlignment="1" pivotButton="0" quotePrefix="0" xfId="0">
      <alignment horizontal="general" vertical="bottom"/>
    </xf>
    <xf numFmtId="164" fontId="0" fillId="0" borderId="1" applyAlignment="1" pivotButton="0" quotePrefix="0" xfId="0">
      <alignment horizontal="general" vertical="bottom"/>
    </xf>
    <xf numFmtId="0" fontId="0" fillId="0" borderId="0" pivotButton="0" quotePrefix="0" xfId="0"/>
    <xf numFmtId="0" fontId="11" fillId="3"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0" applyAlignment="1" pivotButton="0" quotePrefix="0" xfId="0">
      <alignment horizontal="general" vertical="bottom"/>
    </xf>
    <xf numFmtId="0" fontId="5" fillId="0" borderId="0" applyAlignment="1" pivotButton="0" quotePrefix="0" xfId="0">
      <alignment horizontal="general" vertical="bottom" wrapText="1"/>
    </xf>
    <xf numFmtId="164" fontId="8" fillId="0" borderId="1" applyAlignment="1" pivotButton="0" quotePrefix="0" xfId="0">
      <alignment horizontal="general" vertical="bottom"/>
    </xf>
    <xf numFmtId="0" fontId="7" fillId="0" borderId="1" applyAlignment="1" pivotButton="0" quotePrefix="0" xfId="0">
      <alignment horizontal="general" vertical="bottom"/>
    </xf>
    <xf numFmtId="0" fontId="10" fillId="0" borderId="1" applyAlignment="1" pivotButton="0" quotePrefix="0" xfId="0">
      <alignment horizontal="general" vertical="bottom"/>
    </xf>
    <xf numFmtId="164" fontId="10" fillId="0" borderId="1" applyAlignment="1" pivotButton="0" quotePrefix="0" xfId="0">
      <alignment horizontal="general" vertical="bottom"/>
    </xf>
    <xf numFmtId="0" fontId="8" fillId="0" borderId="1" applyAlignment="1" pivotButton="0" quotePrefix="0" xfId="0">
      <alignment horizontal="general" vertical="bottom"/>
    </xf>
    <xf numFmtId="0" fontId="0" fillId="0" borderId="1" applyAlignment="1" pivotButton="0" quotePrefix="0" xfId="0">
      <alignment horizontal="general" vertical="bottom"/>
    </xf>
    <xf numFmtId="164" fontId="0"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18" customWidth="1" style="17" min="1" max="1"/>
    <col width="34" customWidth="1" style="17" min="2" max="2"/>
    <col width="18" customWidth="1" style="17" min="3" max="3"/>
    <col width="18" customWidth="1" style="17" min="4" max="4"/>
    <col width="34" customWidth="1" style="17" min="5" max="5"/>
    <col width="18" customWidth="1" style="17" min="6" max="6"/>
    <col width="18" customWidth="1" style="17" min="7" max="7"/>
    <col width="18" customWidth="1" style="17" min="8" max="8"/>
    <col width="18" customWidth="1" style="17" min="9" max="9"/>
    <col width="18" customWidth="1" style="17" min="10" max="10"/>
    <col width="18" customWidth="1" style="17" min="11" max="11"/>
    <col width="48" customWidth="1" style="17" min="12" max="12"/>
    <col width="22" customWidth="1" style="17" min="13" max="13"/>
    <col width="22" customWidth="1" style="17" min="14" max="14"/>
    <col width="34" customWidth="1" style="17" min="15" max="15"/>
  </cols>
  <sheetData>
    <row r="1">
      <c r="A1" s="18" t="inlineStr">
        <is>
          <t>Jurisdiction</t>
        </is>
      </c>
      <c r="B1" s="18" t="inlineStr">
        <is>
          <t>Organization</t>
        </is>
      </c>
      <c r="C1" s="18" t="inlineStr">
        <is>
          <t>Contact Name</t>
        </is>
      </c>
      <c r="D1" s="18" t="inlineStr">
        <is>
          <t>Role</t>
        </is>
      </c>
      <c r="E1" s="18" t="inlineStr">
        <is>
          <t>Email</t>
        </is>
      </c>
      <c r="F1" s="18" t="inlineStr">
        <is>
          <t>Tier</t>
        </is>
      </c>
      <c r="G1" s="18" t="inlineStr">
        <is>
          <t>Date Drafted</t>
        </is>
      </c>
      <c r="H1" s="18" t="inlineStr">
        <is>
          <t>Gmail Draft ID</t>
        </is>
      </c>
      <c r="I1" s="18" t="inlineStr">
        <is>
          <t>Sent?</t>
        </is>
      </c>
      <c r="J1" s="18" t="inlineStr">
        <is>
          <t>Replied?</t>
        </is>
      </c>
      <c r="K1" s="18" t="inlineStr">
        <is>
          <t>Follow-up Date (2 wks)</t>
        </is>
      </c>
      <c r="L1" s="18" t="inlineStr">
        <is>
          <t>Notes</t>
        </is>
      </c>
      <c r="M1" s="18" t="inlineStr">
        <is>
          <t>Last touch</t>
        </is>
      </c>
      <c r="N1" s="18" t="inlineStr">
        <is>
          <t>Status</t>
        </is>
      </c>
      <c r="O1" s="18" t="inlineStr">
        <is>
          <t>Next action</t>
        </is>
      </c>
    </row>
    <row r="2">
      <c r="A2" s="19" t="inlineStr">
        <is>
          <t>TX</t>
        </is>
      </c>
      <c r="B2" s="19" t="inlineStr">
        <is>
          <t>Texas State Genealogical Society</t>
        </is>
      </c>
      <c r="C2" s="19" t="inlineStr">
        <is>
          <t>Emily Coffman Richardson</t>
        </is>
      </c>
      <c r="D2" s="19" t="inlineStr">
        <is>
          <t>President</t>
        </is>
      </c>
      <c r="E2" s="19" t="inlineStr">
        <is>
          <t>president@txsgs.org</t>
        </is>
      </c>
      <c r="F2" s="19" t="inlineStr">
        <is>
          <t>1</t>
        </is>
      </c>
      <c r="G2" s="19" t="inlineStr">
        <is>
          <t>2026-08-06</t>
        </is>
      </c>
      <c r="H2" s="19" t="inlineStr">
        <is>
          <t>r-6123661605323512792</t>
        </is>
      </c>
      <c r="I2" s="19" t="inlineStr">
        <is>
          <t>Yes</t>
        </is>
      </c>
      <c r="J2" s="19" t="inlineStr">
        <is>
          <t>Yes</t>
        </is>
      </c>
      <c r="K2" s="19" t="inlineStr">
        <is>
          <t>2026-08-20</t>
        </is>
      </c>
      <c r="L2" s="19" t="inlineStr">
        <is>
          <t>Replied 2026-08-18: Busy with upcoming conference — not available now. Rufus replied with complimentary lifetime subscription offer.</t>
        </is>
      </c>
      <c r="M2" s="19" t="inlineStr">
        <is>
          <t>2026-08-18 reply</t>
        </is>
      </c>
      <c r="N2" s="19" t="inlineStr">
        <is>
          <t>Warm — busy until Nov</t>
        </is>
      </c>
      <c r="O2" s="19" t="inlineStr">
        <is>
          <t>Circle back 2026-11-10</t>
        </is>
      </c>
    </row>
    <row r="3">
      <c r="A3" s="19" t="inlineStr">
        <is>
          <t>TX (Dallas)</t>
        </is>
      </c>
      <c r="B3" s="19" t="inlineStr">
        <is>
          <t>Dallas Genealogical Society</t>
        </is>
      </c>
      <c r="C3" s="19" t="inlineStr">
        <is>
          <t>Beri Kaplan Schwitzer</t>
        </is>
      </c>
      <c r="D3" s="19" t="inlineStr">
        <is>
          <t>President</t>
        </is>
      </c>
      <c r="E3" s="19" t="inlineStr">
        <is>
          <t>president@dallasgenealogy.org</t>
        </is>
      </c>
      <c r="F3" s="19" t="inlineStr">
        <is>
          <t>1</t>
        </is>
      </c>
      <c r="G3" s="19" t="inlineStr">
        <is>
          <t>2026-08-06</t>
        </is>
      </c>
      <c r="H3" s="19" t="inlineStr">
        <is>
          <t>r4811107787055514791</t>
        </is>
      </c>
      <c r="I3" s="19" t="inlineStr">
        <is>
          <t>Yes</t>
        </is>
      </c>
      <c r="J3" s="19" t="inlineStr">
        <is>
          <t>No</t>
        </is>
      </c>
      <c r="K3" s="19" t="inlineStr">
        <is>
          <t>2026-08-20</t>
        </is>
      </c>
      <c r="L3" s="19" t="inlineStr">
        <is>
          <t>⚠️ No reply after 2 weeks — consider follow-up</t>
        </is>
      </c>
      <c r="M3" s="19" t="inlineStr"/>
      <c r="N3" s="19" t="inlineStr">
        <is>
          <t>No reply</t>
        </is>
      </c>
      <c r="O3" s="19" t="inlineStr">
        <is>
          <t>Second-touch note (week1-followups.md template)</t>
        </is>
      </c>
    </row>
    <row r="4">
      <c r="A4" s="19" t="inlineStr">
        <is>
          <t>TX (Dallas)</t>
        </is>
      </c>
      <c r="B4" s="19" t="inlineStr">
        <is>
          <t>Dallas Genealogical Society</t>
        </is>
      </c>
      <c r="C4" s="19" t="inlineStr">
        <is>
          <t>Kim Edge</t>
        </is>
      </c>
      <c r="D4" s="19" t="inlineStr">
        <is>
          <t>Director of Membership</t>
        </is>
      </c>
      <c r="E4" s="19" t="inlineStr">
        <is>
          <t>membership@dallasgenealogy.org</t>
        </is>
      </c>
      <c r="F4" s="19" t="inlineStr">
        <is>
          <t>1</t>
        </is>
      </c>
      <c r="G4" s="19" t="inlineStr">
        <is>
          <t>2026-08-06</t>
        </is>
      </c>
      <c r="H4" s="19" t="inlineStr">
        <is>
          <t>r-1959700704337531704</t>
        </is>
      </c>
      <c r="I4" s="19" t="inlineStr">
        <is>
          <t>Yes</t>
        </is>
      </c>
      <c r="J4" s="19" t="inlineStr">
        <is>
          <t>No</t>
        </is>
      </c>
      <c r="K4" s="19" t="inlineStr">
        <is>
          <t>2026-08-20</t>
        </is>
      </c>
      <c r="L4" s="19" t="inlineStr">
        <is>
          <t>⚠️ No reply after 2 weeks — consider follow-up</t>
        </is>
      </c>
      <c r="M4" s="19" t="inlineStr"/>
      <c r="N4" s="19" t="inlineStr">
        <is>
          <t>No reply</t>
        </is>
      </c>
      <c r="O4" s="19" t="inlineStr">
        <is>
          <t>Second-touch note (week1-followups.md template)</t>
        </is>
      </c>
    </row>
    <row r="5">
      <c r="A5" s="19" t="inlineStr">
        <is>
          <t>TX (Houston)</t>
        </is>
      </c>
      <c r="B5" s="19" t="inlineStr">
        <is>
          <t>Houston Genealogical Forum</t>
        </is>
      </c>
      <c r="C5" s="19" t="inlineStr">
        <is>
          <t>Frank C. Lytle</t>
        </is>
      </c>
      <c r="D5" s="19" t="inlineStr">
        <is>
          <t>President</t>
        </is>
      </c>
      <c r="E5" s="19" t="inlineStr">
        <is>
          <t>info@hgftx.org</t>
        </is>
      </c>
      <c r="F5" s="19" t="inlineStr">
        <is>
          <t>1</t>
        </is>
      </c>
      <c r="G5" s="19" t="inlineStr">
        <is>
          <t>2026-08-06</t>
        </is>
      </c>
      <c r="H5" s="19" t="inlineStr">
        <is>
          <t>r6232461793987967318</t>
        </is>
      </c>
      <c r="I5" s="19" t="inlineStr">
        <is>
          <t>Yes</t>
        </is>
      </c>
      <c r="J5" s="19" t="inlineStr">
        <is>
          <t>No</t>
        </is>
      </c>
      <c r="K5" s="19" t="inlineStr">
        <is>
          <t>2026-08-20</t>
        </is>
      </c>
      <c r="L5" s="19" t="inlineStr">
        <is>
          <t>⚠️ No reply after 2 weeks — consider follow-up</t>
        </is>
      </c>
      <c r="M5" s="19" t="inlineStr"/>
      <c r="N5" s="19" t="inlineStr">
        <is>
          <t>No reply</t>
        </is>
      </c>
      <c r="O5" s="19" t="inlineStr">
        <is>
          <t>Second-touch note (week1-followups.md template)</t>
        </is>
      </c>
    </row>
    <row r="6">
      <c r="A6" s="19" t="inlineStr">
        <is>
          <t>TX (Austin)</t>
        </is>
      </c>
      <c r="B6" s="19" t="inlineStr">
        <is>
          <t>Austin Genealogical Society</t>
        </is>
      </c>
      <c r="C6" s="19" t="inlineStr">
        <is>
          <t>Debbie Ulczynski</t>
        </is>
      </c>
      <c r="D6" s="19" t="inlineStr">
        <is>
          <t>President</t>
        </is>
      </c>
      <c r="E6" s="19" t="inlineStr">
        <is>
          <t>communications@austingenealogicalsociety.org</t>
        </is>
      </c>
      <c r="F6" s="19" t="inlineStr">
        <is>
          <t>1</t>
        </is>
      </c>
      <c r="G6" s="19" t="inlineStr">
        <is>
          <t>2026-08-06</t>
        </is>
      </c>
      <c r="H6" s="19" t="inlineStr">
        <is>
          <t>r-2786340151908735496</t>
        </is>
      </c>
      <c r="I6" s="19" t="inlineStr">
        <is>
          <t>Yes</t>
        </is>
      </c>
      <c r="J6" s="19" t="inlineStr">
        <is>
          <t>No</t>
        </is>
      </c>
      <c r="K6" s="19" t="inlineStr">
        <is>
          <t>2026-08-20</t>
        </is>
      </c>
      <c r="L6" s="19" t="inlineStr">
        <is>
          <t>⚠️ No reply after 2 weeks — consider follow-up</t>
        </is>
      </c>
      <c r="M6" s="19" t="inlineStr"/>
      <c r="N6" s="19" t="inlineStr">
        <is>
          <t>No reply</t>
        </is>
      </c>
      <c r="O6" s="19" t="inlineStr">
        <is>
          <t>Second-touch note (week1-followups.md template)</t>
        </is>
      </c>
    </row>
    <row r="7">
      <c r="A7" s="19" t="inlineStr">
        <is>
          <t>GA</t>
        </is>
      </c>
      <c r="B7" s="19" t="inlineStr">
        <is>
          <t>Georgia Genealogical Society</t>
        </is>
      </c>
      <c r="C7" s="19" t="inlineStr">
        <is>
          <t>Lillian Wingate</t>
        </is>
      </c>
      <c r="D7" s="19" t="inlineStr">
        <is>
          <t>President</t>
        </is>
      </c>
      <c r="E7" s="19" t="inlineStr">
        <is>
          <t>president@gagensociety.org</t>
        </is>
      </c>
      <c r="F7" s="19" t="inlineStr">
        <is>
          <t>1</t>
        </is>
      </c>
      <c r="G7" s="19" t="inlineStr">
        <is>
          <t>2026-08-06</t>
        </is>
      </c>
      <c r="H7" s="19" t="inlineStr">
        <is>
          <t>r2773135958402912986</t>
        </is>
      </c>
      <c r="I7" s="19" t="inlineStr">
        <is>
          <t>Yes</t>
        </is>
      </c>
      <c r="J7" s="19" t="inlineStr">
        <is>
          <t>Yes</t>
        </is>
      </c>
      <c r="K7" s="19" t="inlineStr">
        <is>
          <t>2026-08-20</t>
        </is>
      </c>
      <c r="L7" s="19" t="inlineStr">
        <is>
          <t>Replied 2026-07-29: Declined — not interested. Rufus acknowledged gracefully.</t>
        </is>
      </c>
      <c r="M7" s="19" t="inlineStr"/>
      <c r="N7" s="19" t="inlineStr">
        <is>
          <t>Declined</t>
        </is>
      </c>
      <c r="O7" s="19" t="inlineStr">
        <is>
          <t>None</t>
        </is>
      </c>
    </row>
    <row r="8">
      <c r="A8" s="19" t="inlineStr">
        <is>
          <t>MN</t>
        </is>
      </c>
      <c r="B8" s="19" t="inlineStr">
        <is>
          <t>Minnesota Genealogical Society</t>
        </is>
      </c>
      <c r="C8" s="19" t="inlineStr">
        <is>
          <t>Mike Amidon</t>
        </is>
      </c>
      <c r="D8" s="19" t="inlineStr">
        <is>
          <t>President</t>
        </is>
      </c>
      <c r="E8" s="19" t="inlineStr">
        <is>
          <t>president@mngs.org</t>
        </is>
      </c>
      <c r="F8" s="19" t="inlineStr">
        <is>
          <t>1</t>
        </is>
      </c>
      <c r="G8" s="19" t="inlineStr">
        <is>
          <t>2026-08-06</t>
        </is>
      </c>
      <c r="H8" s="19" t="inlineStr">
        <is>
          <t>r4832178354393645045</t>
        </is>
      </c>
      <c r="I8" s="19" t="inlineStr">
        <is>
          <t>Yes</t>
        </is>
      </c>
      <c r="J8" s="19" t="inlineStr">
        <is>
          <t>No</t>
        </is>
      </c>
      <c r="K8" s="19" t="inlineStr">
        <is>
          <t>2026-08-20</t>
        </is>
      </c>
      <c r="L8" s="19" t="inlineStr">
        <is>
          <t>⚠️ No reply after 2 weeks — consider follow-up</t>
        </is>
      </c>
      <c r="M8" s="19" t="inlineStr"/>
      <c r="N8" s="19" t="inlineStr">
        <is>
          <t>No reply</t>
        </is>
      </c>
      <c r="O8" s="19" t="inlineStr">
        <is>
          <t>Second-touch note (week1-followups.md template)</t>
        </is>
      </c>
    </row>
    <row r="9">
      <c r="A9" s="19" t="inlineStr">
        <is>
          <t>NC</t>
        </is>
      </c>
      <c r="B9" s="19" t="inlineStr">
        <is>
          <t>North Carolina Genealogical Society</t>
        </is>
      </c>
      <c r="C9" s="19" t="inlineStr">
        <is>
          <t>David McCorkle</t>
        </is>
      </c>
      <c r="D9" s="19" t="inlineStr">
        <is>
          <t>President</t>
        </is>
      </c>
      <c r="E9" s="19" t="inlineStr">
        <is>
          <t>info@ncgenealogy.org</t>
        </is>
      </c>
      <c r="F9" s="19" t="inlineStr">
        <is>
          <t>1</t>
        </is>
      </c>
      <c r="G9" s="19" t="inlineStr">
        <is>
          <t>2026-08-06</t>
        </is>
      </c>
      <c r="H9" s="19" t="inlineStr">
        <is>
          <t>r8534923792559368331</t>
        </is>
      </c>
      <c r="I9" s="19" t="inlineStr">
        <is>
          <t>Yes</t>
        </is>
      </c>
      <c r="J9" s="19" t="inlineStr">
        <is>
          <t>No</t>
        </is>
      </c>
      <c r="K9" s="19" t="inlineStr">
        <is>
          <t>2026-08-20</t>
        </is>
      </c>
      <c r="L9" s="19" t="inlineStr">
        <is>
          <t>⚠️ No reply after 2 weeks — consider follow-up</t>
        </is>
      </c>
      <c r="M9" s="19" t="inlineStr"/>
      <c r="N9" s="19" t="inlineStr">
        <is>
          <t>No reply</t>
        </is>
      </c>
      <c r="O9" s="19" t="inlineStr">
        <is>
          <t>Second-touch note (week1-followups.md template)</t>
        </is>
      </c>
    </row>
    <row r="10">
      <c r="A10" s="19" t="inlineStr">
        <is>
          <t>NC (Charlotte)</t>
        </is>
      </c>
      <c r="B10" s="19" t="inlineStr">
        <is>
          <t>Mecklenburg GS "Olde Meck"</t>
        </is>
      </c>
      <c r="C10" s="19" t="inlineStr">
        <is>
          <t>Katie Grafer</t>
        </is>
      </c>
      <c r="D10" s="19" t="inlineStr">
        <is>
          <t>President</t>
        </is>
      </c>
      <c r="E10" s="19" t="inlineStr">
        <is>
          <t>President@oldemeck.org</t>
        </is>
      </c>
      <c r="F10" s="19" t="inlineStr">
        <is>
          <t>1</t>
        </is>
      </c>
      <c r="G10" s="19" t="inlineStr">
        <is>
          <t>2026-08-06</t>
        </is>
      </c>
      <c r="H10" s="19" t="inlineStr">
        <is>
          <t>r7180791586960514622</t>
        </is>
      </c>
      <c r="I10" s="19" t="inlineStr">
        <is>
          <t>Yes</t>
        </is>
      </c>
      <c r="J10" s="19" t="inlineStr">
        <is>
          <t>Yes</t>
        </is>
      </c>
      <c r="K10" s="19" t="inlineStr">
        <is>
          <t>2026-08-20</t>
        </is>
      </c>
      <c r="L10" s="19" t="inlineStr">
        <is>
          <t>Replied 2026-08-08 via katie@diggingforroots.net: Very positive! Trial credentials sent 2026-08-09. Review meeting held 2026-08-26 4pm EDT — active tester.</t>
        </is>
      </c>
      <c r="M10" s="19" t="inlineStr">
        <is>
          <t>2026-09-09 Rufus combined email</t>
        </is>
      </c>
      <c r="N10" s="19" t="inlineStr">
        <is>
          <t>Active tester (comped)</t>
        </is>
      </c>
      <c r="O10" s="19" t="inlineStr">
        <is>
          <t>Await Katie's newsletter answer; reconnect ~Nov</t>
        </is>
      </c>
    </row>
    <row r="11">
      <c r="A11" s="19" t="inlineStr">
        <is>
          <t>NC (Raleigh)</t>
        </is>
      </c>
      <c r="B11" s="19" t="inlineStr">
        <is>
          <t>Wake County Genealogical Society</t>
        </is>
      </c>
      <c r="C11" s="19" t="inlineStr">
        <is>
          <t>Barbara McGeachy</t>
        </is>
      </c>
      <c r="D11" s="19" t="inlineStr">
        <is>
          <t>President</t>
        </is>
      </c>
      <c r="E11" s="19" t="inlineStr">
        <is>
          <t>president@wakecogen.org</t>
        </is>
      </c>
      <c r="F11" s="19" t="inlineStr">
        <is>
          <t>1</t>
        </is>
      </c>
      <c r="G11" s="19" t="inlineStr">
        <is>
          <t>2026-08-06</t>
        </is>
      </c>
      <c r="H11" s="19" t="inlineStr">
        <is>
          <t>r-3769036800251127563</t>
        </is>
      </c>
      <c r="I11" s="19" t="inlineStr">
        <is>
          <t>Yes</t>
        </is>
      </c>
      <c r="J11" s="19" t="inlineStr">
        <is>
          <t>No</t>
        </is>
      </c>
      <c r="K11" s="19" t="inlineStr">
        <is>
          <t>2026-08-20</t>
        </is>
      </c>
      <c r="L11" s="19" t="inlineStr">
        <is>
          <t>⚠️ No reply after 2 weeks — consider follow-up</t>
        </is>
      </c>
      <c r="M11" s="19" t="inlineStr"/>
      <c r="N11" s="19" t="inlineStr">
        <is>
          <t>No reply</t>
        </is>
      </c>
      <c r="O11" s="19" t="inlineStr">
        <is>
          <t>Second-touch note (week1-followups.md template)</t>
        </is>
      </c>
    </row>
    <row r="12">
      <c r="A12" s="19" t="inlineStr">
        <is>
          <t>WA</t>
        </is>
      </c>
      <c r="B12" s="19" t="inlineStr">
        <is>
          <t>Washington State Genealogical Society</t>
        </is>
      </c>
      <c r="C12" s="19" t="inlineStr">
        <is>
          <t>Kathleen (Kathy) Sizer</t>
        </is>
      </c>
      <c r="D12" s="19" t="inlineStr">
        <is>
          <t>President</t>
        </is>
      </c>
      <c r="E12" s="19" t="inlineStr">
        <is>
          <t>sizer@bentonrea.com</t>
        </is>
      </c>
      <c r="F12" s="19" t="inlineStr">
        <is>
          <t>1</t>
        </is>
      </c>
      <c r="G12" s="19" t="inlineStr">
        <is>
          <t>2026-08-06</t>
        </is>
      </c>
      <c r="H12" s="19" t="inlineStr">
        <is>
          <t>r-6715318302531636624</t>
        </is>
      </c>
      <c r="I12" s="19" t="inlineStr">
        <is>
          <t>Yes</t>
        </is>
      </c>
      <c r="J12" s="19" t="inlineStr">
        <is>
          <t>No</t>
        </is>
      </c>
      <c r="K12" s="19" t="inlineStr">
        <is>
          <t>2026-08-20</t>
        </is>
      </c>
      <c r="L12" s="19" t="inlineStr">
        <is>
          <t>⚠️ No reply after 2 weeks — consider follow-up</t>
        </is>
      </c>
      <c r="M12" s="19" t="inlineStr"/>
      <c r="N12" s="19" t="inlineStr">
        <is>
          <t>No reply</t>
        </is>
      </c>
      <c r="O12" s="19" t="inlineStr">
        <is>
          <t>Second-touch note (week1-followups.md template)</t>
        </is>
      </c>
    </row>
    <row r="13">
      <c r="A13" s="19" t="inlineStr">
        <is>
          <t>WA (Tacoma)</t>
        </is>
      </c>
      <c r="B13" s="19" t="inlineStr">
        <is>
          <t>Tacoma-Pierce County GS</t>
        </is>
      </c>
      <c r="C13" s="19" t="inlineStr">
        <is>
          <t>Tim Ward</t>
        </is>
      </c>
      <c r="D13" s="19" t="inlineStr">
        <is>
          <t>President</t>
        </is>
      </c>
      <c r="E13" s="19" t="inlineStr">
        <is>
          <t>president@tpcgs.org</t>
        </is>
      </c>
      <c r="F13" s="19" t="inlineStr">
        <is>
          <t>1</t>
        </is>
      </c>
      <c r="G13" s="19" t="inlineStr">
        <is>
          <t>2026-08-06</t>
        </is>
      </c>
      <c r="H13" s="19" t="inlineStr">
        <is>
          <t>r-3080417372529593595</t>
        </is>
      </c>
      <c r="I13" s="19" t="inlineStr">
        <is>
          <t>Yes</t>
        </is>
      </c>
      <c r="J13" s="19" t="inlineStr">
        <is>
          <t>No</t>
        </is>
      </c>
      <c r="K13" s="19" t="inlineStr">
        <is>
          <t>2026-08-20</t>
        </is>
      </c>
      <c r="L13" s="19" t="inlineStr">
        <is>
          <t>⚠️ No reply after 2 weeks — consider follow-up</t>
        </is>
      </c>
      <c r="M13" s="19" t="inlineStr"/>
      <c r="N13" s="19" t="inlineStr">
        <is>
          <t>No reply</t>
        </is>
      </c>
      <c r="O13" s="19" t="inlineStr">
        <is>
          <t>Second-touch note (week1-followups.md template)</t>
        </is>
      </c>
    </row>
    <row r="14">
      <c r="A14" s="19" t="inlineStr">
        <is>
          <t>WA (Spokane)</t>
        </is>
      </c>
      <c r="B14" s="19" t="inlineStr">
        <is>
          <t>Eastern Washington GS</t>
        </is>
      </c>
      <c r="C14" s="19" t="inlineStr">
        <is>
          <t>Dolly Gorrod Webb</t>
        </is>
      </c>
      <c r="D14" s="19" t="inlineStr">
        <is>
          <t>President</t>
        </is>
      </c>
      <c r="E14" s="19" t="inlineStr">
        <is>
          <t>President@ewgsi.org</t>
        </is>
      </c>
      <c r="F14" s="19" t="inlineStr">
        <is>
          <t>1</t>
        </is>
      </c>
      <c r="G14" s="19" t="inlineStr">
        <is>
          <t>2026-08-06</t>
        </is>
      </c>
      <c r="H14" s="19" t="inlineStr">
        <is>
          <t>r-3022120070576092471</t>
        </is>
      </c>
      <c r="I14" s="19" t="inlineStr">
        <is>
          <t>Yes</t>
        </is>
      </c>
      <c r="J14" s="19" t="inlineStr">
        <is>
          <t>No</t>
        </is>
      </c>
      <c r="K14" s="19" t="inlineStr">
        <is>
          <t>2026-08-20</t>
        </is>
      </c>
      <c r="L14" s="19" t="inlineStr">
        <is>
          <t>⚠️ No reply after 2 weeks — consider follow-up</t>
        </is>
      </c>
      <c r="M14" s="19" t="inlineStr"/>
      <c r="N14" s="19" t="inlineStr">
        <is>
          <t>No reply</t>
        </is>
      </c>
      <c r="O14" s="19" t="inlineStr">
        <is>
          <t>Second-touch note (week1-followups.md template)</t>
        </is>
      </c>
    </row>
    <row r="15">
      <c r="A15" s="19" t="inlineStr">
        <is>
          <t>NJ</t>
        </is>
      </c>
      <c r="B15" s="19" t="inlineStr">
        <is>
          <t>Genealogical Society of New Jersey</t>
        </is>
      </c>
      <c r="C15" s="19" t="inlineStr">
        <is>
          <t>Mary Szaro CG</t>
        </is>
      </c>
      <c r="D15" s="19" t="inlineStr">
        <is>
          <t>President</t>
        </is>
      </c>
      <c r="E15" s="19" t="inlineStr">
        <is>
          <t>president@gsnj.org</t>
        </is>
      </c>
      <c r="F15" s="19" t="inlineStr">
        <is>
          <t>1</t>
        </is>
      </c>
      <c r="G15" s="19" t="inlineStr">
        <is>
          <t>2026-08-06</t>
        </is>
      </c>
      <c r="H15" s="19" t="inlineStr">
        <is>
          <t>r2428190722151094001</t>
        </is>
      </c>
      <c r="I15" s="19" t="inlineStr">
        <is>
          <t>Yes</t>
        </is>
      </c>
      <c r="J15" s="19" t="inlineStr">
        <is>
          <t>No</t>
        </is>
      </c>
      <c r="K15" s="19" t="inlineStr">
        <is>
          <t>2026-08-20</t>
        </is>
      </c>
      <c r="L15" s="19" t="inlineStr">
        <is>
          <t>⚠️ No reply after 2 weeks — consider follow-up</t>
        </is>
      </c>
      <c r="M15" s="19" t="inlineStr"/>
      <c r="N15" s="19" t="inlineStr">
        <is>
          <t>No reply</t>
        </is>
      </c>
      <c r="O15" s="19" t="inlineStr">
        <is>
          <t>Second-touch note (week1-followups.md template)</t>
        </is>
      </c>
    </row>
    <row r="16">
      <c r="A16" s="19" t="inlineStr">
        <is>
          <t>NJ (Monmouth)</t>
        </is>
      </c>
      <c r="B16" s="19" t="inlineStr">
        <is>
          <t>Monmouth County Genealogy Society</t>
        </is>
      </c>
      <c r="C16" s="19" t="inlineStr">
        <is>
          <t>Carol (Fisher) Megill</t>
        </is>
      </c>
      <c r="D16" s="19" t="inlineStr">
        <is>
          <t>Roots Group Lead / Historian</t>
        </is>
      </c>
      <c r="E16" s="19" t="inlineStr">
        <is>
          <t>carolmegill@gmail.com</t>
        </is>
      </c>
      <c r="F16" s="19" t="inlineStr">
        <is>
          <t>1</t>
        </is>
      </c>
      <c r="G16" s="19" t="inlineStr">
        <is>
          <t>2026-08-06</t>
        </is>
      </c>
      <c r="H16" s="19" t="inlineStr">
        <is>
          <t>r-6471223962080742686</t>
        </is>
      </c>
      <c r="I16" s="19" t="inlineStr">
        <is>
          <t>Yes</t>
        </is>
      </c>
      <c r="J16" s="19" t="inlineStr">
        <is>
          <t>No</t>
        </is>
      </c>
      <c r="K16" s="19" t="inlineStr">
        <is>
          <t>2026-08-20</t>
        </is>
      </c>
      <c r="L16" s="19" t="inlineStr">
        <is>
          <t>⚠️ No reply after 2 weeks — consider follow-up</t>
        </is>
      </c>
      <c r="M16" s="19" t="inlineStr"/>
      <c r="N16" s="19" t="inlineStr">
        <is>
          <t>No reply</t>
        </is>
      </c>
      <c r="O16" s="19" t="inlineStr">
        <is>
          <t>Second-touch note (week1-followups.md template)</t>
        </is>
      </c>
    </row>
    <row r="17">
      <c r="A17" s="19" t="inlineStr">
        <is>
          <t>NM</t>
        </is>
      </c>
      <c r="B17" s="19" t="inlineStr">
        <is>
          <t>New Mexico Genealogical Society</t>
        </is>
      </c>
      <c r="C17" s="19" t="inlineStr">
        <is>
          <t>Henrietta Martinez Christmas</t>
        </is>
      </c>
      <c r="D17" s="19" t="inlineStr">
        <is>
          <t>President</t>
        </is>
      </c>
      <c r="E17" s="19" t="inlineStr">
        <is>
          <t>info@nmgs.org</t>
        </is>
      </c>
      <c r="F17" s="19" t="inlineStr">
        <is>
          <t>1</t>
        </is>
      </c>
      <c r="G17" s="19" t="inlineStr">
        <is>
          <t>2026-08-06</t>
        </is>
      </c>
      <c r="H17" s="19" t="inlineStr">
        <is>
          <t>r6513282555489302073</t>
        </is>
      </c>
      <c r="I17" s="19" t="inlineStr">
        <is>
          <t>Yes</t>
        </is>
      </c>
      <c r="J17" s="19" t="inlineStr">
        <is>
          <t>No</t>
        </is>
      </c>
      <c r="K17" s="19" t="inlineStr">
        <is>
          <t>2026-08-20</t>
        </is>
      </c>
      <c r="L17" s="19" t="inlineStr">
        <is>
          <t>⚠️ No reply after 2 weeks — consider follow-up</t>
        </is>
      </c>
      <c r="M17" s="19" t="inlineStr"/>
      <c r="N17" s="19" t="inlineStr">
        <is>
          <t>No reply</t>
        </is>
      </c>
      <c r="O17" s="19" t="inlineStr">
        <is>
          <t>Second-touch note (week1-followups.md template)</t>
        </is>
      </c>
    </row>
    <row r="18">
      <c r="A18" s="19" t="inlineStr">
        <is>
          <t>LA</t>
        </is>
      </c>
      <c r="B18" s="19" t="inlineStr">
        <is>
          <t>Louisiana Genealogical &amp; Historical Society</t>
        </is>
      </c>
      <c r="C18" s="19" t="inlineStr">
        <is>
          <t>Robert Brevelle</t>
        </is>
      </c>
      <c r="D18" s="19" t="inlineStr">
        <is>
          <t>Chairman</t>
        </is>
      </c>
      <c r="E18" s="19" t="inlineStr">
        <is>
          <t>info@laghs.com</t>
        </is>
      </c>
      <c r="F18" s="19" t="inlineStr">
        <is>
          <t>1</t>
        </is>
      </c>
      <c r="G18" s="19" t="inlineStr">
        <is>
          <t>2026-08-06</t>
        </is>
      </c>
      <c r="H18" s="19" t="inlineStr">
        <is>
          <t>r-4261522493829288194</t>
        </is>
      </c>
      <c r="I18" s="19" t="inlineStr">
        <is>
          <t>Yes</t>
        </is>
      </c>
      <c r="J18" s="19" t="inlineStr">
        <is>
          <t>No</t>
        </is>
      </c>
      <c r="K18" s="19" t="inlineStr">
        <is>
          <t>2026-08-20</t>
        </is>
      </c>
      <c r="L18" s="19" t="inlineStr">
        <is>
          <t>⚠️ No reply after 2 weeks — consider follow-up</t>
        </is>
      </c>
      <c r="M18" s="19" t="inlineStr"/>
      <c r="N18" s="19" t="inlineStr">
        <is>
          <t>No reply</t>
        </is>
      </c>
      <c r="O18" s="19" t="inlineStr">
        <is>
          <t>Second-touch note (week1-followups.md template)</t>
        </is>
      </c>
    </row>
    <row r="19">
      <c r="A19" s="19" t="inlineStr">
        <is>
          <t>NV</t>
        </is>
      </c>
      <c r="B19" s="19" t="inlineStr">
        <is>
          <t>Nevada State Genealogical Society</t>
        </is>
      </c>
      <c r="C19" s="19" t="inlineStr">
        <is>
          <t>Richard Dalton</t>
        </is>
      </c>
      <c r="D19" s="19" t="inlineStr">
        <is>
          <t>President</t>
        </is>
      </c>
      <c r="E19" s="19" t="inlineStr">
        <is>
          <t>p-c-w@sbcglobal.net</t>
        </is>
      </c>
      <c r="F19" s="19" t="inlineStr">
        <is>
          <t>1</t>
        </is>
      </c>
      <c r="G19" s="19" t="inlineStr">
        <is>
          <t>2026-08-06</t>
        </is>
      </c>
      <c r="H19" s="19" t="inlineStr">
        <is>
          <t>r1339103577434508352</t>
        </is>
      </c>
      <c r="I19" s="19" t="inlineStr">
        <is>
          <t>Yes</t>
        </is>
      </c>
      <c r="J19" s="19" t="inlineStr">
        <is>
          <t>No</t>
        </is>
      </c>
      <c r="K19" s="19" t="inlineStr">
        <is>
          <t>2026-08-20</t>
        </is>
      </c>
      <c r="L19" s="19" t="inlineStr">
        <is>
          <t>⚠️ No reply after 2 weeks — consider follow-up</t>
        </is>
      </c>
      <c r="M19" s="19" t="inlineStr"/>
      <c r="N19" s="19" t="inlineStr">
        <is>
          <t>No reply</t>
        </is>
      </c>
      <c r="O19" s="19" t="inlineStr">
        <is>
          <t>Second-touch note (week1-followups.md template)</t>
        </is>
      </c>
    </row>
    <row r="20">
      <c r="A20" s="19" t="inlineStr">
        <is>
          <t>UT</t>
        </is>
      </c>
      <c r="B20" s="19" t="inlineStr">
        <is>
          <t>Utah Genealogical Association</t>
        </is>
      </c>
      <c r="C20" s="19" t="inlineStr">
        <is>
          <t>Maria Wittwer AG CG</t>
        </is>
      </c>
      <c r="D20" s="19" t="inlineStr">
        <is>
          <t>President</t>
        </is>
      </c>
      <c r="E20" s="19" t="inlineStr">
        <is>
          <t>info@ugagenealogy.org</t>
        </is>
      </c>
      <c r="F20" s="19" t="inlineStr">
        <is>
          <t>1</t>
        </is>
      </c>
      <c r="G20" s="19" t="inlineStr">
        <is>
          <t>2026-08-06</t>
        </is>
      </c>
      <c r="H20" s="19" t="inlineStr">
        <is>
          <t>r-7036922859443197822</t>
        </is>
      </c>
      <c r="I20" s="19" t="inlineStr">
        <is>
          <t>Yes</t>
        </is>
      </c>
      <c r="J20" s="19" t="inlineStr">
        <is>
          <t>No</t>
        </is>
      </c>
      <c r="K20" s="19" t="inlineStr">
        <is>
          <t>2026-08-20</t>
        </is>
      </c>
      <c r="L20" s="19" t="inlineStr">
        <is>
          <t>⚠️ No reply after 2 weeks — consider follow-up</t>
        </is>
      </c>
      <c r="M20" s="19" t="inlineStr"/>
      <c r="N20" s="19" t="inlineStr">
        <is>
          <t>No reply; Tier 3 second approach to Crossroads editor 09-09</t>
        </is>
      </c>
      <c r="O20" s="19" t="inlineStr">
        <is>
          <t>See Tier 3 row</t>
        </is>
      </c>
    </row>
    <row r="21">
      <c r="A21" s="19" t="inlineStr">
        <is>
          <t>WI</t>
        </is>
      </c>
      <c r="B21" s="19" t="inlineStr">
        <is>
          <t>Wisconsin State Genealogical Society</t>
        </is>
      </c>
      <c r="C21" s="19" t="inlineStr">
        <is>
          <t>John Fassbender</t>
        </is>
      </c>
      <c r="D21" s="19" t="inlineStr">
        <is>
          <t>President</t>
        </is>
      </c>
      <c r="E21" s="19" t="inlineStr">
        <is>
          <t>wsgs@wsgs.org</t>
        </is>
      </c>
      <c r="F21" s="19" t="inlineStr">
        <is>
          <t>1</t>
        </is>
      </c>
      <c r="G21" s="19" t="inlineStr">
        <is>
          <t>2026-08-06</t>
        </is>
      </c>
      <c r="H21" s="19" t="inlineStr">
        <is>
          <t>r-7932058208361481133</t>
        </is>
      </c>
      <c r="I21" s="19" t="inlineStr">
        <is>
          <t>Yes</t>
        </is>
      </c>
      <c r="J21" s="19" t="inlineStr">
        <is>
          <t>No</t>
        </is>
      </c>
      <c r="K21" s="19" t="inlineStr">
        <is>
          <t>2026-08-20</t>
        </is>
      </c>
      <c r="L21" s="19" t="inlineStr">
        <is>
          <t>⚠️ No reply after 2 weeks — consider follow-up</t>
        </is>
      </c>
      <c r="M21" s="19" t="inlineStr"/>
      <c r="N21" s="19" t="inlineStr">
        <is>
          <t>No reply</t>
        </is>
      </c>
      <c r="O21" s="19" t="inlineStr">
        <is>
          <t>Second-touch note (week1-followups.md template)</t>
        </is>
      </c>
    </row>
    <row r="22">
      <c r="A22" s="19" t="inlineStr">
        <is>
          <t>WI (Milwaukee)</t>
        </is>
      </c>
      <c r="B22" s="19" t="inlineStr">
        <is>
          <t>Milwaukee County Genealogical Society</t>
        </is>
      </c>
      <c r="C22" s="19" t="inlineStr">
        <is>
          <t>Dee Howard</t>
        </is>
      </c>
      <c r="D22" s="19" t="inlineStr">
        <is>
          <t>Treasurer &amp; Membership Chair</t>
        </is>
      </c>
      <c r="E22" s="19" t="inlineStr">
        <is>
          <t>treasurer@milwaukeegenealogy.org</t>
        </is>
      </c>
      <c r="F22" s="19" t="inlineStr">
        <is>
          <t>1</t>
        </is>
      </c>
      <c r="G22" s="19" t="inlineStr">
        <is>
          <t>2026-08-06</t>
        </is>
      </c>
      <c r="H22" s="19" t="inlineStr">
        <is>
          <t>r5610301252073316479</t>
        </is>
      </c>
      <c r="I22" s="19" t="inlineStr">
        <is>
          <t>Yes</t>
        </is>
      </c>
      <c r="J22" s="19" t="inlineStr">
        <is>
          <t>No</t>
        </is>
      </c>
      <c r="K22" s="19" t="inlineStr">
        <is>
          <t>2026-08-20</t>
        </is>
      </c>
      <c r="L22" s="19" t="inlineStr">
        <is>
          <t>Name conflict noted — Dee Howard (Treasurer) is reliable contact per brief. ⚠️ No reply after 2 weeks — consider follow-up</t>
        </is>
      </c>
      <c r="M22" s="19" t="inlineStr"/>
      <c r="N22" s="19" t="inlineStr">
        <is>
          <t>No reply</t>
        </is>
      </c>
      <c r="O22" s="19" t="inlineStr">
        <is>
          <t>Second-touch note (week1-followups.md template)</t>
        </is>
      </c>
    </row>
    <row r="23">
      <c r="A23" s="19" t="inlineStr">
        <is>
          <t>NY</t>
        </is>
      </c>
      <c r="B23" s="19" t="inlineStr">
        <is>
          <t>New York Genealogical &amp; Biographical Society</t>
        </is>
      </c>
      <c r="C23" s="19" t="inlineStr">
        <is>
          <t>D. Joshua Taylor</t>
        </is>
      </c>
      <c r="D23" s="19" t="inlineStr">
        <is>
          <t>President &amp; CEO</t>
        </is>
      </c>
      <c r="E23" s="19" t="inlineStr">
        <is>
          <t>adminaccounts@nygbs.org</t>
        </is>
      </c>
      <c r="F23" s="19" t="inlineStr">
        <is>
          <t>1</t>
        </is>
      </c>
      <c r="G23" s="19" t="inlineStr">
        <is>
          <t>2026-08-06</t>
        </is>
      </c>
      <c r="H23" s="19" t="inlineStr">
        <is>
          <t>r4208960273802595301</t>
        </is>
      </c>
      <c r="I23" s="19" t="inlineStr">
        <is>
          <t>Yes</t>
        </is>
      </c>
      <c r="J23" s="19" t="inlineStr">
        <is>
          <t>No</t>
        </is>
      </c>
      <c r="K23" s="19" t="inlineStr">
        <is>
          <t>2026-08-20</t>
        </is>
      </c>
      <c r="L23" s="19" t="inlineStr">
        <is>
          <t>⚠️ No reply after 2 weeks — consider follow-up</t>
        </is>
      </c>
      <c r="M23" s="19" t="inlineStr"/>
      <c r="N23" s="19" t="inlineStr">
        <is>
          <t>No reply</t>
        </is>
      </c>
      <c r="O23" s="19" t="inlineStr">
        <is>
          <t>Second-touch note (week1-followups.md template)</t>
        </is>
      </c>
    </row>
    <row r="24">
      <c r="A24" s="19" t="inlineStr">
        <is>
          <t>PA</t>
        </is>
      </c>
      <c r="B24" s="19" t="inlineStr">
        <is>
          <t>Genealogical Society of Pennsylvania</t>
        </is>
      </c>
      <c r="C24" s="19" t="inlineStr">
        <is>
          <t>Deborah Hoskins</t>
        </is>
      </c>
      <c r="D24" s="19" t="inlineStr">
        <is>
          <t>President (unverified)</t>
        </is>
      </c>
      <c r="E24" s="19" t="inlineStr">
        <is>
          <t>info@genpa.org</t>
        </is>
      </c>
      <c r="F24" s="19" t="inlineStr">
        <is>
          <t>1</t>
        </is>
      </c>
      <c r="G24" s="19" t="inlineStr">
        <is>
          <t>2026-08-06</t>
        </is>
      </c>
      <c r="H24" s="19" t="inlineStr">
        <is>
          <t>r-7841263554056186708</t>
        </is>
      </c>
      <c r="I24" s="19" t="inlineStr">
        <is>
          <t>Yes</t>
        </is>
      </c>
      <c r="J24" s="19" t="inlineStr">
        <is>
          <t>No</t>
        </is>
      </c>
      <c r="K24" s="19" t="inlineStr">
        <is>
          <t>2026-08-20</t>
        </is>
      </c>
      <c r="L24" s="19" t="inlineStr">
        <is>
          <t>Officer name unverified — verify before sending. ⚠️ No reply after 2 weeks — consider follow-up</t>
        </is>
      </c>
      <c r="M24" s="19" t="inlineStr"/>
      <c r="N24" s="19" t="inlineStr">
        <is>
          <t>No reply</t>
        </is>
      </c>
      <c r="O24" s="19" t="inlineStr">
        <is>
          <t>Second-touch note (week1-followups.md template)</t>
        </is>
      </c>
    </row>
    <row r="25">
      <c r="A25" s="19" t="inlineStr">
        <is>
          <t>OH</t>
        </is>
      </c>
      <c r="B25" s="19" t="inlineStr">
        <is>
          <t>Ohio Genealogical Society</t>
        </is>
      </c>
      <c r="C25" s="19" t="inlineStr">
        <is>
          <t>Dorothea Martin / Noel Poirier</t>
        </is>
      </c>
      <c r="D25" s="19" t="inlineStr">
        <is>
          <t>President / Executive Director</t>
        </is>
      </c>
      <c r="E25" s="19" t="inlineStr">
        <is>
          <t>president@ogs.org</t>
        </is>
      </c>
      <c r="F25" s="19" t="inlineStr">
        <is>
          <t>1</t>
        </is>
      </c>
      <c r="G25" s="19" t="inlineStr">
        <is>
          <t>2026-07-27</t>
        </is>
      </c>
      <c r="H25" s="19" t="inlineStr"/>
      <c r="I25" s="19" t="inlineStr">
        <is>
          <t>Yes</t>
        </is>
      </c>
      <c r="J25" s="19" t="inlineStr">
        <is>
          <t>No</t>
        </is>
      </c>
      <c r="K25" s="19" t="inlineStr">
        <is>
          <t>2026-08-10</t>
        </is>
      </c>
      <c r="L25" s="19" t="inlineStr">
        <is>
          <t>Contact form only — manual outreach required</t>
        </is>
      </c>
      <c r="M25" s="19" t="inlineStr">
        <is>
          <t>2026-09-09 second email (Greene body)</t>
        </is>
      </c>
      <c r="N25" s="19" t="inlineStr">
        <is>
          <t>No reply ×2</t>
        </is>
      </c>
      <c r="O25" s="19" t="inlineStr">
        <is>
          <t>Wait; if reply, treat as state-level door</t>
        </is>
      </c>
    </row>
    <row r="26">
      <c r="A26" s="19" t="inlineStr">
        <is>
          <t>SC</t>
        </is>
      </c>
      <c r="B26" s="19" t="inlineStr">
        <is>
          <t>South Carolina Genealogical Society</t>
        </is>
      </c>
      <c r="C26" s="19" t="inlineStr">
        <is>
          <t>Mike Becknell</t>
        </is>
      </c>
      <c r="D26" s="19" t="inlineStr">
        <is>
          <t>President</t>
        </is>
      </c>
      <c r="E26" s="19" t="inlineStr">
        <is>
          <t>via scgen.org</t>
        </is>
      </c>
      <c r="F26" s="19" t="inlineStr">
        <is>
          <t>1</t>
        </is>
      </c>
      <c r="G26" s="19" t="inlineStr"/>
      <c r="H26" s="19" t="inlineStr"/>
      <c r="I26" s="19" t="inlineStr">
        <is>
          <t>No</t>
        </is>
      </c>
      <c r="J26" s="19" t="inlineStr">
        <is>
          <t>No</t>
        </is>
      </c>
      <c r="K26" s="19" t="inlineStr"/>
      <c r="L26" s="19" t="inlineStr">
        <is>
          <t>Contact form only — manual outreach required</t>
        </is>
      </c>
      <c r="M26" s="19" t="inlineStr"/>
      <c r="N26" s="19" t="inlineStr">
        <is>
          <t>Not sent</t>
        </is>
      </c>
      <c r="O26" s="19" t="inlineStr">
        <is>
          <t>Manual: contact form</t>
        </is>
      </c>
    </row>
    <row r="27">
      <c r="A27" s="19" t="inlineStr">
        <is>
          <t>AB</t>
        </is>
      </c>
      <c r="B27" s="19" t="inlineStr">
        <is>
          <t>Alberta Genealogical Society</t>
        </is>
      </c>
      <c r="C27" s="19" t="inlineStr">
        <is>
          <t>Lynne Duigou</t>
        </is>
      </c>
      <c r="D27" s="19" t="inlineStr">
        <is>
          <t>President (verify)</t>
        </is>
      </c>
      <c r="E27" s="19" t="inlineStr">
        <is>
          <t>president@abgenealogy.ca</t>
        </is>
      </c>
      <c r="F27" s="19" t="inlineStr">
        <is>
          <t>1</t>
        </is>
      </c>
      <c r="G27" s="19" t="inlineStr">
        <is>
          <t>2026-08-06</t>
        </is>
      </c>
      <c r="H27" s="19" t="inlineStr">
        <is>
          <t>r2096330832498020132</t>
        </is>
      </c>
      <c r="I27" s="19" t="inlineStr">
        <is>
          <t>Yes</t>
        </is>
      </c>
      <c r="J27" s="19" t="inlineStr">
        <is>
          <t>No</t>
        </is>
      </c>
      <c r="K27" s="19" t="inlineStr">
        <is>
          <t>2026-08-20</t>
        </is>
      </c>
      <c r="L27" s="19" t="inlineStr">
        <is>
          <t>Officer name noted as unverified — verify before sending. ⚠️ No reply after 2 weeks — consider follow-up</t>
        </is>
      </c>
      <c r="M27" s="19" t="inlineStr"/>
      <c r="N27" s="19" t="inlineStr">
        <is>
          <t>No reply</t>
        </is>
      </c>
      <c r="O27" s="19" t="inlineStr">
        <is>
          <t>Second-touch note (week1-followups.md template)</t>
        </is>
      </c>
    </row>
    <row r="28">
      <c r="A28" s="19" t="inlineStr">
        <is>
          <t>AB (Edmonton)</t>
        </is>
      </c>
      <c r="B28" s="19" t="inlineStr">
        <is>
          <t>AGS Edmonton Branch</t>
        </is>
      </c>
      <c r="C28" s="19" t="inlineStr">
        <is>
          <t>Karen Wilson</t>
        </is>
      </c>
      <c r="D28" s="19" t="inlineStr">
        <is>
          <t>President</t>
        </is>
      </c>
      <c r="E28" s="19" t="inlineStr">
        <is>
          <t>president@edmontongenealogy.ca</t>
        </is>
      </c>
      <c r="F28" s="19" t="inlineStr">
        <is>
          <t>1</t>
        </is>
      </c>
      <c r="G28" s="19" t="inlineStr">
        <is>
          <t>2026-08-06</t>
        </is>
      </c>
      <c r="H28" s="19" t="inlineStr">
        <is>
          <t>r-6380087031425423107</t>
        </is>
      </c>
      <c r="I28" s="19" t="inlineStr">
        <is>
          <t>Yes</t>
        </is>
      </c>
      <c r="J28" s="19" t="inlineStr">
        <is>
          <t>No</t>
        </is>
      </c>
      <c r="K28" s="19" t="inlineStr">
        <is>
          <t>2026-08-20</t>
        </is>
      </c>
      <c r="L28" s="19" t="inlineStr">
        <is>
          <t>⚠️ No reply after 2 weeks — consider follow-up</t>
        </is>
      </c>
      <c r="M28" s="19" t="inlineStr"/>
      <c r="N28" s="19" t="inlineStr">
        <is>
          <t>No reply</t>
        </is>
      </c>
      <c r="O28" s="19" t="inlineStr">
        <is>
          <t>Second-touch note (week1-followups.md template)</t>
        </is>
      </c>
    </row>
    <row r="29">
      <c r="A29" s="19" t="inlineStr">
        <is>
          <t>SK</t>
        </is>
      </c>
      <c r="B29" s="19" t="inlineStr">
        <is>
          <t>Saskatchewan Genealogical Society</t>
        </is>
      </c>
      <c r="C29" s="19" t="inlineStr">
        <is>
          <t>Roberta Cox / Deanne Cairns</t>
        </is>
      </c>
      <c r="D29" s="19" t="inlineStr">
        <is>
          <t>President / Executive Director</t>
        </is>
      </c>
      <c r="E29" s="19" t="inlineStr">
        <is>
          <t>sgs.board@sasktel.net</t>
        </is>
      </c>
      <c r="F29" s="19" t="inlineStr">
        <is>
          <t>1</t>
        </is>
      </c>
      <c r="G29" s="19" t="inlineStr">
        <is>
          <t>2026-08-06</t>
        </is>
      </c>
      <c r="H29" s="19" t="inlineStr">
        <is>
          <t>r-5959205942184312089</t>
        </is>
      </c>
      <c r="I29" s="19" t="inlineStr">
        <is>
          <t>Yes</t>
        </is>
      </c>
      <c r="J29" s="19" t="inlineStr">
        <is>
          <t>No</t>
        </is>
      </c>
      <c r="K29" s="19" t="inlineStr">
        <is>
          <t>2026-08-20</t>
        </is>
      </c>
      <c r="L29" s="19" t="inlineStr">
        <is>
          <t>⚠️ No reply after 2 weeks — consider follow-up</t>
        </is>
      </c>
      <c r="M29" s="19" t="inlineStr"/>
      <c r="N29" s="19" t="inlineStr">
        <is>
          <t>No reply</t>
        </is>
      </c>
      <c r="O29" s="19" t="inlineStr">
        <is>
          <t>Second-touch note (week1-followups.md template)</t>
        </is>
      </c>
    </row>
    <row r="30">
      <c r="A30" s="19" t="inlineStr">
        <is>
          <t>SK (Regina)</t>
        </is>
      </c>
      <c r="B30" s="19" t="inlineStr">
        <is>
          <t>SGS Regina Branch</t>
        </is>
      </c>
      <c r="C30" s="19" t="inlineStr">
        <is>
          <t>Christa Kaytor</t>
        </is>
      </c>
      <c r="D30" s="19" t="inlineStr">
        <is>
          <t>President</t>
        </is>
      </c>
      <c r="E30" s="19" t="inlineStr">
        <is>
          <t>sgsregina@gmail.com</t>
        </is>
      </c>
      <c r="F30" s="19" t="inlineStr">
        <is>
          <t>1</t>
        </is>
      </c>
      <c r="G30" s="19" t="inlineStr">
        <is>
          <t>2026-08-06</t>
        </is>
      </c>
      <c r="H30" s="19" t="inlineStr">
        <is>
          <t>r1465797711444511207</t>
        </is>
      </c>
      <c r="I30" s="19" t="inlineStr">
        <is>
          <t>Yes</t>
        </is>
      </c>
      <c r="J30" s="19" t="inlineStr">
        <is>
          <t>Yes</t>
        </is>
      </c>
      <c r="K30" s="19" t="inlineStr">
        <is>
          <t>2026-08-20</t>
        </is>
      </c>
      <c r="L30" s="19" t="inlineStr">
        <is>
          <t>Replied 2026-08-14: Skeptical re: GEDCOM privacy. Rufus clarified app stays on-device. Awaiting further response from Christa.</t>
        </is>
      </c>
      <c r="M30" s="19" t="inlineStr">
        <is>
          <t>2026-08-14 Rufus privacy reply</t>
        </is>
      </c>
      <c r="N30" s="19" t="inlineStr">
        <is>
          <t>Skeptical — awaiting</t>
        </is>
      </c>
      <c r="O30" s="19" t="inlineStr">
        <is>
          <t>Short nudge with privacy page link</t>
        </is>
      </c>
    </row>
    <row r="31">
      <c r="A31" s="19" t="inlineStr">
        <is>
          <t>BC</t>
        </is>
      </c>
      <c r="B31" s="19" t="inlineStr">
        <is>
          <t>British Columbia Genealogical Society</t>
        </is>
      </c>
      <c r="C31" s="19" t="inlineStr">
        <is>
          <t>Linda Fleury</t>
        </is>
      </c>
      <c r="D31" s="19" t="inlineStr">
        <is>
          <t>President</t>
        </is>
      </c>
      <c r="E31" s="19" t="inlineStr">
        <is>
          <t>info@bcgs.ca</t>
        </is>
      </c>
      <c r="F31" s="19" t="inlineStr">
        <is>
          <t>1</t>
        </is>
      </c>
      <c r="G31" s="19" t="inlineStr">
        <is>
          <t>2026-08-06</t>
        </is>
      </c>
      <c r="H31" s="19" t="inlineStr">
        <is>
          <t>r7184229729181494994</t>
        </is>
      </c>
      <c r="I31" s="19" t="inlineStr">
        <is>
          <t>Yes</t>
        </is>
      </c>
      <c r="J31" s="19" t="inlineStr">
        <is>
          <t>No</t>
        </is>
      </c>
      <c r="K31" s="19" t="inlineStr">
        <is>
          <t>2026-08-20</t>
        </is>
      </c>
      <c r="L31" s="19" t="inlineStr">
        <is>
          <t>⚠️ No reply after 2 weeks — consider follow-up</t>
        </is>
      </c>
      <c r="M31" s="19" t="inlineStr"/>
      <c r="N31" s="19" t="inlineStr">
        <is>
          <t>No reply</t>
        </is>
      </c>
      <c r="O31" s="19" t="inlineStr">
        <is>
          <t>Second-touch note (week1-followups.md template)</t>
        </is>
      </c>
    </row>
    <row r="32">
      <c r="A32" s="19" t="inlineStr">
        <is>
          <t>BC (Kelowna)</t>
        </is>
      </c>
      <c r="B32" s="19" t="inlineStr">
        <is>
          <t>Kelowna &amp; District Genealogical Society</t>
        </is>
      </c>
      <c r="C32" s="19" t="inlineStr">
        <is>
          <t>Marie Ablett</t>
        </is>
      </c>
      <c r="D32" s="19" t="inlineStr">
        <is>
          <t>Society Contact</t>
        </is>
      </c>
      <c r="E32" s="19" t="inlineStr">
        <is>
          <t>info@kdgs.ca</t>
        </is>
      </c>
      <c r="F32" s="19" t="inlineStr">
        <is>
          <t>1</t>
        </is>
      </c>
      <c r="G32" s="19" t="inlineStr">
        <is>
          <t>2026-08-06</t>
        </is>
      </c>
      <c r="H32" s="19" t="inlineStr">
        <is>
          <t>r4974606863782325300</t>
        </is>
      </c>
      <c r="I32" s="19" t="inlineStr">
        <is>
          <t>Yes</t>
        </is>
      </c>
      <c r="J32" s="19" t="inlineStr">
        <is>
          <t>No</t>
        </is>
      </c>
      <c r="K32" s="19" t="inlineStr">
        <is>
          <t>2026-08-20</t>
        </is>
      </c>
      <c r="L32" s="19" t="inlineStr">
        <is>
          <t>⚠️ No reply after 2 weeks — consider follow-up</t>
        </is>
      </c>
      <c r="M32" s="19" t="inlineStr"/>
      <c r="N32" s="19" t="inlineStr">
        <is>
          <t>No reply</t>
        </is>
      </c>
      <c r="O32" s="19" t="inlineStr">
        <is>
          <t>Second-touch note (week1-followups.md template)</t>
        </is>
      </c>
    </row>
    <row r="33">
      <c r="A33" s="19" t="inlineStr">
        <is>
          <t>QC (English)</t>
        </is>
      </c>
      <c r="B33" s="19" t="inlineStr">
        <is>
          <t>Quebec Family History Society</t>
        </is>
      </c>
      <c r="C33" s="19" t="inlineStr">
        <is>
          <t>Gary Schroder</t>
        </is>
      </c>
      <c r="D33" s="19" t="inlineStr">
        <is>
          <t>President</t>
        </is>
      </c>
      <c r="E33" s="19" t="inlineStr">
        <is>
          <t>qfhs@bellnet.ca</t>
        </is>
      </c>
      <c r="F33" s="19" t="inlineStr">
        <is>
          <t>1</t>
        </is>
      </c>
      <c r="G33" s="19" t="inlineStr">
        <is>
          <t>2026-08-06</t>
        </is>
      </c>
      <c r="H33" s="19" t="inlineStr">
        <is>
          <t>r6360648698486957912</t>
        </is>
      </c>
      <c r="I33" s="19" t="inlineStr">
        <is>
          <t>Yes</t>
        </is>
      </c>
      <c r="J33" s="19" t="inlineStr">
        <is>
          <t>No</t>
        </is>
      </c>
      <c r="K33" s="19" t="inlineStr">
        <is>
          <t>2026-08-20</t>
        </is>
      </c>
      <c r="L33" s="19" t="inlineStr">
        <is>
          <t>⚠️ No reply after 2 weeks — consider follow-up</t>
        </is>
      </c>
      <c r="M33" s="19" t="inlineStr"/>
      <c r="N33" s="19" t="inlineStr">
        <is>
          <t>No reply</t>
        </is>
      </c>
      <c r="O33" s="19" t="inlineStr">
        <is>
          <t>Second-touch note (week1-followups.md template)</t>
        </is>
      </c>
    </row>
    <row r="34">
      <c r="A34" s="19" t="inlineStr">
        <is>
          <t>QC (French)</t>
        </is>
      </c>
      <c r="B34" s="19" t="inlineStr">
        <is>
          <t>Société généalogique canadienne-française</t>
        </is>
      </c>
      <c r="C34" s="19" t="inlineStr">
        <is>
          <t>Guy Matte</t>
        </is>
      </c>
      <c r="D34" s="19" t="inlineStr">
        <is>
          <t>Président</t>
        </is>
      </c>
      <c r="E34" s="19" t="inlineStr">
        <is>
          <t>info@sgcf.com</t>
        </is>
      </c>
      <c r="F34" s="19" t="inlineStr">
        <is>
          <t>1</t>
        </is>
      </c>
      <c r="G34" s="19" t="inlineStr">
        <is>
          <t>2026-08-06</t>
        </is>
      </c>
      <c r="H34" s="19" t="inlineStr">
        <is>
          <t>r-8943475592269747230</t>
        </is>
      </c>
      <c r="I34" s="19" t="inlineStr">
        <is>
          <t>Yes</t>
        </is>
      </c>
      <c r="J34" s="19" t="inlineStr">
        <is>
          <t>No</t>
        </is>
      </c>
      <c r="K34" s="19" t="inlineStr">
        <is>
          <t>2026-08-20</t>
        </is>
      </c>
      <c r="L34" s="19" t="inlineStr">
        <is>
          <t>French-language society — consider bilingual follow-up if no response. ⚠️ No reply after 2 weeks — consider follow-up</t>
        </is>
      </c>
      <c r="M34" s="19" t="inlineStr"/>
      <c r="N34" s="19" t="inlineStr">
        <is>
          <t>No reply</t>
        </is>
      </c>
      <c r="O34" s="19" t="inlineStr">
        <is>
          <t>Second-touch note (week1-followups.md template)</t>
        </is>
      </c>
    </row>
    <row r="35">
      <c r="A35" s="19" t="inlineStr">
        <is>
          <t>NL</t>
        </is>
      </c>
      <c r="B35" s="19" t="inlineStr">
        <is>
          <t>Family History Society of Newfoundland &amp; Labrador</t>
        </is>
      </c>
      <c r="C35" s="19" t="inlineStr">
        <is>
          <t>Janet Morrissey</t>
        </is>
      </c>
      <c r="D35" s="19" t="inlineStr">
        <is>
          <t>President</t>
        </is>
      </c>
      <c r="E35" s="19" t="inlineStr">
        <is>
          <t>president@fhsnl.ca</t>
        </is>
      </c>
      <c r="F35" s="19" t="inlineStr">
        <is>
          <t>1</t>
        </is>
      </c>
      <c r="G35" s="19" t="inlineStr">
        <is>
          <t>2026-08-06</t>
        </is>
      </c>
      <c r="H35" s="19" t="inlineStr">
        <is>
          <t>r5003397084055165389</t>
        </is>
      </c>
      <c r="I35" s="19" t="inlineStr">
        <is>
          <t>Yes</t>
        </is>
      </c>
      <c r="J35" s="19" t="inlineStr">
        <is>
          <t>No</t>
        </is>
      </c>
      <c r="K35" s="19" t="inlineStr">
        <is>
          <t>2026-08-20</t>
        </is>
      </c>
      <c r="L35" s="19" t="inlineStr">
        <is>
          <t>⚠️ No reply after 2 weeks — consider follow-up</t>
        </is>
      </c>
      <c r="M35" s="19" t="inlineStr"/>
      <c r="N35" s="19" t="inlineStr">
        <is>
          <t>No reply</t>
        </is>
      </c>
      <c r="O35" s="19" t="inlineStr">
        <is>
          <t>Second-touch note (week1-followups.md template)</t>
        </is>
      </c>
    </row>
    <row r="36">
      <c r="A36" s="19" t="inlineStr">
        <is>
          <t>GA (Marietta)</t>
        </is>
      </c>
      <c r="B36" s="19" t="inlineStr">
        <is>
          <t>Cobb County Genealogical Society</t>
        </is>
      </c>
      <c r="C36" s="19" t="inlineStr">
        <is>
          <t>(President)</t>
        </is>
      </c>
      <c r="D36" s="19" t="inlineStr"/>
      <c r="E36" s="19" t="inlineStr">
        <is>
          <t>via cobbgagensoc.org/contact-us</t>
        </is>
      </c>
      <c r="F36" s="19" t="inlineStr">
        <is>
          <t>2</t>
        </is>
      </c>
      <c r="G36" s="19" t="inlineStr"/>
      <c r="H36" s="19" t="inlineStr"/>
      <c r="I36" s="19" t="inlineStr">
        <is>
          <t>No</t>
        </is>
      </c>
      <c r="J36" s="19" t="inlineStr">
        <is>
          <t>No</t>
        </is>
      </c>
      <c r="K36" s="19" t="inlineStr"/>
      <c r="L36" s="19" t="inlineStr">
        <is>
          <t>Contact form only — manual outreach required</t>
        </is>
      </c>
      <c r="M36" s="19" t="inlineStr"/>
      <c r="N36" s="19" t="inlineStr">
        <is>
          <t>Not sent</t>
        </is>
      </c>
      <c r="O36" s="19" t="inlineStr">
        <is>
          <t>Manual: contact form</t>
        </is>
      </c>
    </row>
    <row r="37">
      <c r="A37" s="19" t="inlineStr">
        <is>
          <t>GA (Augusta)</t>
        </is>
      </c>
      <c r="B37" s="19" t="inlineStr">
        <is>
          <t>Augusta Genealogical Society</t>
        </is>
      </c>
      <c r="C37" s="19" t="inlineStr">
        <is>
          <t>(President)</t>
        </is>
      </c>
      <c r="D37" s="19" t="inlineStr"/>
      <c r="E37" s="19" t="inlineStr">
        <is>
          <t>augustagensociety@comcast.net</t>
        </is>
      </c>
      <c r="F37" s="19" t="inlineStr">
        <is>
          <t>2</t>
        </is>
      </c>
      <c r="G37" s="19" t="inlineStr">
        <is>
          <t>2026-08-06</t>
        </is>
      </c>
      <c r="H37" s="19" t="inlineStr">
        <is>
          <t>r3326249766627924885</t>
        </is>
      </c>
      <c r="I37" s="19" t="inlineStr">
        <is>
          <t>Yes</t>
        </is>
      </c>
      <c r="J37" s="19" t="inlineStr">
        <is>
          <t>No</t>
        </is>
      </c>
      <c r="K37" s="19" t="inlineStr">
        <is>
          <t>2026-08-20</t>
        </is>
      </c>
      <c r="L37" s="19" t="inlineStr">
        <is>
          <t>⚠️ No reply after 2 weeks — consider follow-up</t>
        </is>
      </c>
      <c r="M37" s="19" t="inlineStr"/>
      <c r="N37" s="19" t="inlineStr">
        <is>
          <t>No reply</t>
        </is>
      </c>
      <c r="O37" s="19" t="inlineStr">
        <is>
          <t>Second-touch note (week1-followups.md template)</t>
        </is>
      </c>
    </row>
    <row r="38">
      <c r="A38" s="19" t="inlineStr">
        <is>
          <t>GA (East Georgia)</t>
        </is>
      </c>
      <c r="B38" s="19" t="inlineStr">
        <is>
          <t>East Georgia Genealogical Society</t>
        </is>
      </c>
      <c r="C38" s="19" t="inlineStr">
        <is>
          <t>(President)</t>
        </is>
      </c>
      <c r="D38" s="19" t="inlineStr"/>
      <c r="E38" s="19" t="inlineStr">
        <is>
          <t>gaeggs@yahoo.com</t>
        </is>
      </c>
      <c r="F38" s="19" t="inlineStr">
        <is>
          <t>2</t>
        </is>
      </c>
      <c r="G38" s="19" t="inlineStr">
        <is>
          <t>2026-08-06</t>
        </is>
      </c>
      <c r="H38" s="19" t="inlineStr">
        <is>
          <t>r5060624238695126661</t>
        </is>
      </c>
      <c r="I38" s="19" t="inlineStr">
        <is>
          <t>Yes</t>
        </is>
      </c>
      <c r="J38" s="19" t="inlineStr">
        <is>
          <t>No</t>
        </is>
      </c>
      <c r="K38" s="19" t="inlineStr">
        <is>
          <t>2026-08-20</t>
        </is>
      </c>
      <c r="L38" s="19" t="inlineStr">
        <is>
          <t>⚠️ No reply after 2 weeks — consider follow-up</t>
        </is>
      </c>
      <c r="M38" s="19" t="inlineStr"/>
      <c r="N38" s="19" t="inlineStr">
        <is>
          <t>No reply</t>
        </is>
      </c>
      <c r="O38" s="19" t="inlineStr">
        <is>
          <t>Second-touch note (week1-followups.md template)</t>
        </is>
      </c>
    </row>
    <row r="39">
      <c r="A39" s="19" t="inlineStr">
        <is>
          <t>GA (SW Georgia)</t>
        </is>
      </c>
      <c r="B39" s="19" t="inlineStr">
        <is>
          <t>Southwest Georgia Genealogical Society</t>
        </is>
      </c>
      <c r="C39" s="19" t="inlineStr">
        <is>
          <t>(President)</t>
        </is>
      </c>
      <c r="D39" s="19" t="inlineStr"/>
      <c r="E39" s="19" t="inlineStr">
        <is>
          <t>lalford@docolib.org</t>
        </is>
      </c>
      <c r="F39" s="19" t="inlineStr">
        <is>
          <t>2</t>
        </is>
      </c>
      <c r="G39" s="19" t="inlineStr">
        <is>
          <t>2026-08-06</t>
        </is>
      </c>
      <c r="H39" s="19" t="inlineStr">
        <is>
          <t>r-6826650153058857107</t>
        </is>
      </c>
      <c r="I39" s="19" t="inlineStr">
        <is>
          <t>Yes</t>
        </is>
      </c>
      <c r="J39" s="19" t="inlineStr">
        <is>
          <t>No</t>
        </is>
      </c>
      <c r="K39" s="19" t="inlineStr">
        <is>
          <t>2026-08-20</t>
        </is>
      </c>
      <c r="L39" s="19" t="inlineStr">
        <is>
          <t>⚠️ No reply after 2 weeks — consider follow-up</t>
        </is>
      </c>
      <c r="M39" s="19" t="inlineStr"/>
      <c r="N39" s="19" t="inlineStr">
        <is>
          <t>No reply</t>
        </is>
      </c>
      <c r="O39" s="19" t="inlineStr">
        <is>
          <t>Second-touch note (week1-followups.md template)</t>
        </is>
      </c>
    </row>
    <row r="40">
      <c r="A40" s="19" t="inlineStr">
        <is>
          <t>MN (Anoka)</t>
        </is>
      </c>
      <c r="B40" s="19" t="inlineStr">
        <is>
          <t>Anoka County Genealogical Society</t>
        </is>
      </c>
      <c r="C40" s="19" t="inlineStr">
        <is>
          <t>(President)</t>
        </is>
      </c>
      <c r="D40" s="19" t="inlineStr"/>
      <c r="E40" s="19" t="inlineStr">
        <is>
          <t>acgsmn@yahoo.com</t>
        </is>
      </c>
      <c r="F40" s="19" t="inlineStr">
        <is>
          <t>2</t>
        </is>
      </c>
      <c r="G40" s="19" t="inlineStr">
        <is>
          <t>2026-08-06</t>
        </is>
      </c>
      <c r="H40" s="19" t="inlineStr">
        <is>
          <t>r5361454840296291781</t>
        </is>
      </c>
      <c r="I40" s="19" t="inlineStr">
        <is>
          <t>Yes</t>
        </is>
      </c>
      <c r="J40" s="19" t="inlineStr">
        <is>
          <t>No</t>
        </is>
      </c>
      <c r="K40" s="19" t="inlineStr">
        <is>
          <t>2026-08-20</t>
        </is>
      </c>
      <c r="L40" s="19" t="inlineStr">
        <is>
          <t>⚠️ No reply after 2 weeks — consider follow-up</t>
        </is>
      </c>
      <c r="M40" s="19" t="inlineStr"/>
      <c r="N40" s="19" t="inlineStr">
        <is>
          <t>No reply</t>
        </is>
      </c>
      <c r="O40" s="19" t="inlineStr">
        <is>
          <t>Second-touch note (week1-followups.md template)</t>
        </is>
      </c>
    </row>
    <row r="41">
      <c r="A41" s="19" t="inlineStr">
        <is>
          <t>NC (Guilford)</t>
        </is>
      </c>
      <c r="B41" s="19" t="inlineStr">
        <is>
          <t>Guilford County Genealogical Society</t>
        </is>
      </c>
      <c r="C41" s="19" t="inlineStr">
        <is>
          <t>(President)</t>
        </is>
      </c>
      <c r="D41" s="19" t="inlineStr"/>
      <c r="E41" s="19" t="inlineStr">
        <is>
          <t>gcgsoc@yahoo.com</t>
        </is>
      </c>
      <c r="F41" s="19" t="inlineStr">
        <is>
          <t>2</t>
        </is>
      </c>
      <c r="G41" s="19" t="inlineStr">
        <is>
          <t>2026-08-06</t>
        </is>
      </c>
      <c r="H41" s="19" t="inlineStr">
        <is>
          <t>r4712748195779489175</t>
        </is>
      </c>
      <c r="I41" s="19" t="inlineStr">
        <is>
          <t>Yes</t>
        </is>
      </c>
      <c r="J41" s="19" t="inlineStr">
        <is>
          <t>No</t>
        </is>
      </c>
      <c r="K41" s="19" t="inlineStr">
        <is>
          <t>2026-08-20</t>
        </is>
      </c>
      <c r="L41" s="19" t="inlineStr">
        <is>
          <t>⚠️ No reply after 2 weeks — consider follow-up</t>
        </is>
      </c>
      <c r="M41" s="19" t="inlineStr"/>
      <c r="N41" s="19" t="inlineStr">
        <is>
          <t>No reply</t>
        </is>
      </c>
      <c r="O41" s="19" t="inlineStr">
        <is>
          <t>Second-touch note (week1-followups.md template)</t>
        </is>
      </c>
    </row>
    <row r="42">
      <c r="A42" s="19" t="inlineStr">
        <is>
          <t>WA (Seattle)</t>
        </is>
      </c>
      <c r="B42" s="19" t="inlineStr">
        <is>
          <t>Seattle Genealogical Society</t>
        </is>
      </c>
      <c r="C42" s="19" t="inlineStr">
        <is>
          <t>(President)</t>
        </is>
      </c>
      <c r="D42" s="19" t="inlineStr"/>
      <c r="E42" s="19" t="inlineStr">
        <is>
          <t>sgs@seagensoc.org</t>
        </is>
      </c>
      <c r="F42" s="19" t="inlineStr">
        <is>
          <t>2</t>
        </is>
      </c>
      <c r="G42" s="19" t="inlineStr">
        <is>
          <t>2026-08-06</t>
        </is>
      </c>
      <c r="H42" s="19" t="inlineStr">
        <is>
          <t>r-3529939918840119639</t>
        </is>
      </c>
      <c r="I42" s="19" t="inlineStr">
        <is>
          <t>Yes</t>
        </is>
      </c>
      <c r="J42" s="19" t="inlineStr">
        <is>
          <t>No</t>
        </is>
      </c>
      <c r="K42" s="19" t="inlineStr">
        <is>
          <t>2026-08-20</t>
        </is>
      </c>
      <c r="L42" s="19" t="inlineStr">
        <is>
          <t>⚠️ No reply after 2 weeks — consider follow-up</t>
        </is>
      </c>
      <c r="M42" s="19" t="inlineStr"/>
      <c r="N42" s="19" t="inlineStr">
        <is>
          <t>No reply</t>
        </is>
      </c>
      <c r="O42" s="19" t="inlineStr">
        <is>
          <t>Second-touch note (week1-followups.md template)</t>
        </is>
      </c>
    </row>
    <row r="43">
      <c r="A43" s="19" t="inlineStr">
        <is>
          <t>WA (Bellevue)</t>
        </is>
      </c>
      <c r="B43" s="19" t="inlineStr">
        <is>
          <t>Eastside Genealogical Society</t>
        </is>
      </c>
      <c r="C43" s="19" t="inlineStr">
        <is>
          <t>(Vice President)</t>
        </is>
      </c>
      <c r="D43" s="19" t="inlineStr"/>
      <c r="E43" s="19" t="inlineStr">
        <is>
          <t>vicepresident@eastsidegenealogicalsociety.org</t>
        </is>
      </c>
      <c r="F43" s="19" t="inlineStr">
        <is>
          <t>2</t>
        </is>
      </c>
      <c r="G43" s="19" t="inlineStr">
        <is>
          <t>2026-08-06</t>
        </is>
      </c>
      <c r="H43" s="19" t="inlineStr">
        <is>
          <t>r7617493914531713822</t>
        </is>
      </c>
      <c r="I43" s="19" t="inlineStr">
        <is>
          <t>Yes</t>
        </is>
      </c>
      <c r="J43" s="19" t="inlineStr">
        <is>
          <t>No</t>
        </is>
      </c>
      <c r="K43" s="19" t="inlineStr">
        <is>
          <t>2026-08-20</t>
        </is>
      </c>
      <c r="L43" s="19" t="inlineStr">
        <is>
          <t>⚠️ No reply after 2 weeks — consider follow-up</t>
        </is>
      </c>
      <c r="M43" s="19" t="inlineStr"/>
      <c r="N43" s="19" t="inlineStr">
        <is>
          <t>No reply</t>
        </is>
      </c>
      <c r="O43" s="19" t="inlineStr">
        <is>
          <t>Second-touch note (week1-followups.md template)</t>
        </is>
      </c>
    </row>
    <row r="44">
      <c r="A44" s="19" t="inlineStr">
        <is>
          <t>WA (Olympia)</t>
        </is>
      </c>
      <c r="B44" s="19" t="inlineStr">
        <is>
          <t>Olympia Genealogical Society</t>
        </is>
      </c>
      <c r="C44" s="19" t="inlineStr">
        <is>
          <t>(President)</t>
        </is>
      </c>
      <c r="D44" s="19" t="inlineStr"/>
      <c r="E44" s="19" t="inlineStr">
        <is>
          <t>info@olygensoc.org</t>
        </is>
      </c>
      <c r="F44" s="19" t="inlineStr">
        <is>
          <t>2</t>
        </is>
      </c>
      <c r="G44" s="19" t="inlineStr">
        <is>
          <t>2026-08-06</t>
        </is>
      </c>
      <c r="H44" s="19" t="inlineStr">
        <is>
          <t>r-6975743739336992059</t>
        </is>
      </c>
      <c r="I44" s="19" t="inlineStr">
        <is>
          <t>Yes</t>
        </is>
      </c>
      <c r="J44" s="19" t="inlineStr">
        <is>
          <t>Yes</t>
        </is>
      </c>
      <c r="K44" s="19" t="inlineStr">
        <is>
          <t>2026-08-20</t>
        </is>
      </c>
      <c r="L44" s="19" t="inlineStr">
        <is>
          <t>Replied 2026-08-25 (president@olygensoc.org/Andy): Very positive! Forwarded to newsletter editor for inclusion in OGS newsletter.</t>
        </is>
      </c>
      <c r="M44" s="19" t="inlineStr">
        <is>
          <t>2026-09-08 newsletter notice sent</t>
        </is>
      </c>
      <c r="N44" s="19" t="inlineStr">
        <is>
          <t>Newsletter pending</t>
        </is>
      </c>
      <c r="O44" s="19" t="inlineStr">
        <is>
          <t>Ask Andy which issue; watch for sign-ups</t>
        </is>
      </c>
    </row>
    <row r="45">
      <c r="A45" s="19" t="inlineStr">
        <is>
          <t>WA (Arlington)</t>
        </is>
      </c>
      <c r="B45" s="19" t="inlineStr">
        <is>
          <t>Stillaguamish Valley GS</t>
        </is>
      </c>
      <c r="C45" s="19" t="inlineStr">
        <is>
          <t>(President)</t>
        </is>
      </c>
      <c r="D45" s="19" t="inlineStr"/>
      <c r="E45" s="19" t="inlineStr">
        <is>
          <t>info@stillygen.org</t>
        </is>
      </c>
      <c r="F45" s="19" t="inlineStr">
        <is>
          <t>2</t>
        </is>
      </c>
      <c r="G45" s="19" t="inlineStr">
        <is>
          <t>2026-08-06</t>
        </is>
      </c>
      <c r="H45" s="19" t="inlineStr">
        <is>
          <t>r4180505655053678088</t>
        </is>
      </c>
      <c r="I45" s="19" t="inlineStr">
        <is>
          <t>Yes</t>
        </is>
      </c>
      <c r="J45" s="19" t="inlineStr">
        <is>
          <t>No</t>
        </is>
      </c>
      <c r="K45" s="19" t="inlineStr">
        <is>
          <t>2026-08-20</t>
        </is>
      </c>
      <c r="L45" s="19" t="inlineStr">
        <is>
          <t>⚠️ No reply after 2 weeks — consider follow-up</t>
        </is>
      </c>
      <c r="M45" s="19" t="inlineStr"/>
      <c r="N45" s="19" t="inlineStr">
        <is>
          <t>No reply</t>
        </is>
      </c>
      <c r="O45" s="19" t="inlineStr">
        <is>
          <t>Second-touch note (week1-followups.md template)</t>
        </is>
      </c>
    </row>
    <row r="46">
      <c r="A46" s="19" t="inlineStr">
        <is>
          <t>NM (Albuquerque)</t>
        </is>
      </c>
      <c r="B46" s="19" t="inlineStr">
        <is>
          <t>Albuquerque Genealogical Society</t>
        </is>
      </c>
      <c r="C46" s="19" t="inlineStr">
        <is>
          <t>(President)</t>
        </is>
      </c>
      <c r="D46" s="19" t="inlineStr"/>
      <c r="E46" s="19" t="inlineStr">
        <is>
          <t>atkinsosgenealogy@outlook.com</t>
        </is>
      </c>
      <c r="F46" s="19" t="inlineStr">
        <is>
          <t>2</t>
        </is>
      </c>
      <c r="G46" s="19" t="inlineStr">
        <is>
          <t>2026-08-06</t>
        </is>
      </c>
      <c r="H46" s="19" t="inlineStr">
        <is>
          <t>r3642377164064663987</t>
        </is>
      </c>
      <c r="I46" s="19" t="inlineStr">
        <is>
          <t>Yes</t>
        </is>
      </c>
      <c r="J46" s="19" t="inlineStr">
        <is>
          <t>No</t>
        </is>
      </c>
      <c r="K46" s="19" t="inlineStr">
        <is>
          <t>2026-08-20</t>
        </is>
      </c>
      <c r="L46" s="19" t="inlineStr">
        <is>
          <t>⚠️ No reply after 2 weeks — consider follow-up</t>
        </is>
      </c>
      <c r="M46" s="19" t="inlineStr"/>
      <c r="N46" s="19" t="inlineStr">
        <is>
          <t>No reply</t>
        </is>
      </c>
      <c r="O46" s="19" t="inlineStr">
        <is>
          <t>Second-touch note (week1-followups.md template)</t>
        </is>
      </c>
    </row>
    <row r="47">
      <c r="A47" s="19" t="inlineStr">
        <is>
          <t>NM</t>
        </is>
      </c>
      <c r="B47" s="19" t="inlineStr">
        <is>
          <t>Hispanic Genealogical Research Center of NM</t>
        </is>
      </c>
      <c r="C47" s="19" t="inlineStr">
        <is>
          <t>(President)</t>
        </is>
      </c>
      <c r="D47" s="19" t="inlineStr"/>
      <c r="E47" s="19" t="inlineStr">
        <is>
          <t>hgrc@hgrc-nm.org</t>
        </is>
      </c>
      <c r="F47" s="19" t="inlineStr">
        <is>
          <t>2</t>
        </is>
      </c>
      <c r="G47" s="19" t="inlineStr">
        <is>
          <t>2026-08-06</t>
        </is>
      </c>
      <c r="H47" s="19" t="inlineStr">
        <is>
          <t>r9048062933534660981</t>
        </is>
      </c>
      <c r="I47" s="19" t="inlineStr">
        <is>
          <t>Yes</t>
        </is>
      </c>
      <c r="J47" s="19" t="inlineStr">
        <is>
          <t>No</t>
        </is>
      </c>
      <c r="K47" s="19" t="inlineStr">
        <is>
          <t>2026-08-20</t>
        </is>
      </c>
      <c r="L47" s="19" t="inlineStr">
        <is>
          <t>⚠️ No reply after 2 weeks — consider follow-up</t>
        </is>
      </c>
      <c r="M47" s="19" t="inlineStr"/>
      <c r="N47" s="19" t="inlineStr">
        <is>
          <t>No reply</t>
        </is>
      </c>
      <c r="O47" s="19" t="inlineStr">
        <is>
          <t>Second-touch note (week1-followups.md template)</t>
        </is>
      </c>
    </row>
    <row r="48">
      <c r="A48" s="19" t="inlineStr">
        <is>
          <t>NV (Clark County)</t>
        </is>
      </c>
      <c r="B48" s="19" t="inlineStr">
        <is>
          <t>Clark County Nevada Genealogical Society</t>
        </is>
      </c>
      <c r="C48" s="19" t="inlineStr">
        <is>
          <t>(President)</t>
        </is>
      </c>
      <c r="D48" s="19" t="inlineStr"/>
      <c r="E48" s="19" t="inlineStr">
        <is>
          <t>president@ccngs.org</t>
        </is>
      </c>
      <c r="F48" s="19" t="inlineStr">
        <is>
          <t>2</t>
        </is>
      </c>
      <c r="G48" s="19" t="inlineStr">
        <is>
          <t>2026-08-06</t>
        </is>
      </c>
      <c r="H48" s="19" t="inlineStr">
        <is>
          <t>r7405232541623832505</t>
        </is>
      </c>
      <c r="I48" s="19" t="inlineStr">
        <is>
          <t>Yes</t>
        </is>
      </c>
      <c r="J48" s="19" t="inlineStr">
        <is>
          <t>Yes</t>
        </is>
      </c>
      <c r="K48" s="19" t="inlineStr">
        <is>
          <t>2026-08-20</t>
        </is>
      </c>
      <c r="L48" s="19" t="inlineStr">
        <is>
          <t>newsletter@ccngs.org is secondary contact. Replied 2026-08-06: Interested (Kharisma)! Asked info be sent to redstringresearch@gmail.com.</t>
        </is>
      </c>
      <c r="M48" s="19" t="inlineStr">
        <is>
          <t>2026-09-08 check-in sent</t>
        </is>
      </c>
      <c r="N48" s="19" t="inlineStr">
        <is>
          <t>Comped, not yet onboarded</t>
        </is>
      </c>
      <c r="O48" s="19" t="inlineStr">
        <is>
          <t>Offer a walkthrough call</t>
        </is>
      </c>
    </row>
    <row r="49">
      <c r="A49" s="19" t="inlineStr">
        <is>
          <t>SC (Charleston)</t>
        </is>
      </c>
      <c r="B49" s="19" t="inlineStr">
        <is>
          <t>Charleston Chapter SCGS</t>
        </is>
      </c>
      <c r="C49" s="19" t="inlineStr">
        <is>
          <t>(President)</t>
        </is>
      </c>
      <c r="D49" s="19" t="inlineStr"/>
      <c r="E49" s="19" t="inlineStr">
        <is>
          <t>via charlestongenealogy.org</t>
        </is>
      </c>
      <c r="F49" s="19" t="inlineStr">
        <is>
          <t>2</t>
        </is>
      </c>
      <c r="G49" s="19" t="inlineStr"/>
      <c r="H49" s="19" t="inlineStr"/>
      <c r="I49" s="19" t="inlineStr">
        <is>
          <t>No</t>
        </is>
      </c>
      <c r="J49" s="19" t="inlineStr">
        <is>
          <t>No</t>
        </is>
      </c>
      <c r="K49" s="19" t="inlineStr"/>
      <c r="L49" s="19" t="inlineStr">
        <is>
          <t>Contact form only — manual outreach required</t>
        </is>
      </c>
      <c r="M49" s="19" t="inlineStr"/>
      <c r="N49" s="19" t="inlineStr">
        <is>
          <t>Not sent</t>
        </is>
      </c>
      <c r="O49" s="19" t="inlineStr">
        <is>
          <t>Manual: contact form</t>
        </is>
      </c>
    </row>
    <row r="50">
      <c r="A50" s="19" t="inlineStr">
        <is>
          <t>SC (Greenville)</t>
        </is>
      </c>
      <c r="B50" s="19" t="inlineStr">
        <is>
          <t>Greenville Chapter SCGS</t>
        </is>
      </c>
      <c r="C50" s="19" t="inlineStr">
        <is>
          <t>Brenda B. Meyer</t>
        </is>
      </c>
      <c r="D50" s="19" t="inlineStr">
        <is>
          <t>Director</t>
        </is>
      </c>
      <c r="E50" s="19" t="inlineStr">
        <is>
          <t>via Facebook</t>
        </is>
      </c>
      <c r="F50" s="19" t="inlineStr">
        <is>
          <t>2</t>
        </is>
      </c>
      <c r="G50" s="19" t="inlineStr"/>
      <c r="H50" s="19" t="inlineStr"/>
      <c r="I50" s="19" t="inlineStr">
        <is>
          <t>No</t>
        </is>
      </c>
      <c r="J50" s="19" t="inlineStr">
        <is>
          <t>No</t>
        </is>
      </c>
      <c r="K50" s="19" t="inlineStr"/>
      <c r="L50" s="19" t="inlineStr">
        <is>
          <t>Facebook/manual outreach required</t>
        </is>
      </c>
      <c r="M50" s="19" t="inlineStr"/>
      <c r="N50" s="19" t="inlineStr">
        <is>
          <t>Not sent</t>
        </is>
      </c>
      <c r="O50" s="19" t="inlineStr">
        <is>
          <t>Manual: contact form</t>
        </is>
      </c>
    </row>
    <row r="51">
      <c r="A51" s="19" t="inlineStr">
        <is>
          <t>WI (Watertown)</t>
        </is>
      </c>
      <c r="B51" s="19" t="inlineStr">
        <is>
          <t>Dodge/Jefferson Counties GS</t>
        </is>
      </c>
      <c r="C51" s="19" t="inlineStr">
        <is>
          <t>(President)</t>
        </is>
      </c>
      <c r="D51" s="19" t="inlineStr"/>
      <c r="E51" s="19" t="inlineStr">
        <is>
          <t>dodgejeffersongensoc@gmail.com</t>
        </is>
      </c>
      <c r="F51" s="19" t="inlineStr">
        <is>
          <t>2</t>
        </is>
      </c>
      <c r="G51" s="19" t="inlineStr">
        <is>
          <t>2026-08-06</t>
        </is>
      </c>
      <c r="H51" s="19" t="inlineStr">
        <is>
          <t>r5640849450330911185</t>
        </is>
      </c>
      <c r="I51" s="19" t="inlineStr">
        <is>
          <t>Yes</t>
        </is>
      </c>
      <c r="J51" s="19" t="inlineStr">
        <is>
          <t>No</t>
        </is>
      </c>
      <c r="K51" s="19" t="inlineStr">
        <is>
          <t>2026-08-20</t>
        </is>
      </c>
      <c r="L51" s="19" t="inlineStr">
        <is>
          <t>⚠️ No reply after 2 weeks — consider follow-up</t>
        </is>
      </c>
      <c r="M51" s="19" t="inlineStr"/>
      <c r="N51" s="19" t="inlineStr">
        <is>
          <t>No reply</t>
        </is>
      </c>
      <c r="O51" s="19" t="inlineStr">
        <is>
          <t>Second-touch note (week1-followups.md template)</t>
        </is>
      </c>
    </row>
    <row r="52">
      <c r="A52" s="19" t="inlineStr">
        <is>
          <t>NY (Rochester)</t>
        </is>
      </c>
      <c r="B52" s="19" t="inlineStr">
        <is>
          <t>Rochester Genealogical Society</t>
        </is>
      </c>
      <c r="C52" s="19" t="inlineStr">
        <is>
          <t>(President)</t>
        </is>
      </c>
      <c r="D52" s="19" t="inlineStr"/>
      <c r="E52" s="19" t="inlineStr">
        <is>
          <t>via nyrgs.org</t>
        </is>
      </c>
      <c r="F52" s="19" t="inlineStr">
        <is>
          <t>2</t>
        </is>
      </c>
      <c r="G52" s="19" t="inlineStr"/>
      <c r="H52" s="19" t="inlineStr"/>
      <c r="I52" s="19" t="inlineStr">
        <is>
          <t>No</t>
        </is>
      </c>
      <c r="J52" s="19" t="inlineStr">
        <is>
          <t>No</t>
        </is>
      </c>
      <c r="K52" s="19" t="inlineStr"/>
      <c r="L52" s="19" t="inlineStr">
        <is>
          <t>Website contact form only</t>
        </is>
      </c>
      <c r="M52" s="19" t="inlineStr"/>
      <c r="N52" s="19" t="inlineStr">
        <is>
          <t>Not sent</t>
        </is>
      </c>
      <c r="O52" s="19" t="inlineStr">
        <is>
          <t>Manual: contact form</t>
        </is>
      </c>
    </row>
    <row r="53">
      <c r="A53" s="19" t="inlineStr">
        <is>
          <t>NY (Syracuse)</t>
        </is>
      </c>
      <c r="B53" s="19" t="inlineStr">
        <is>
          <t>Central New York Genealogical Society</t>
        </is>
      </c>
      <c r="C53" s="19" t="inlineStr">
        <is>
          <t>(President)</t>
        </is>
      </c>
      <c r="D53" s="19" t="inlineStr"/>
      <c r="E53" s="19" t="inlineStr">
        <is>
          <t>via cnygs.org</t>
        </is>
      </c>
      <c r="F53" s="19" t="inlineStr">
        <is>
          <t>2</t>
        </is>
      </c>
      <c r="G53" s="19" t="inlineStr"/>
      <c r="H53" s="19" t="inlineStr"/>
      <c r="I53" s="19" t="inlineStr">
        <is>
          <t>No</t>
        </is>
      </c>
      <c r="J53" s="19" t="inlineStr">
        <is>
          <t>No</t>
        </is>
      </c>
      <c r="K53" s="19" t="inlineStr"/>
      <c r="L53" s="19" t="inlineStr">
        <is>
          <t>Website contact form only</t>
        </is>
      </c>
      <c r="M53" s="19" t="inlineStr"/>
      <c r="N53" s="19" t="inlineStr">
        <is>
          <t>Not sent</t>
        </is>
      </c>
      <c r="O53" s="19" t="inlineStr">
        <is>
          <t>Manual: contact form</t>
        </is>
      </c>
    </row>
    <row r="54">
      <c r="A54" s="19" t="inlineStr">
        <is>
          <t>NY (Western NY)</t>
        </is>
      </c>
      <c r="B54" s="19" t="inlineStr">
        <is>
          <t>Western New York Genealogical Society</t>
        </is>
      </c>
      <c r="C54" s="19" t="inlineStr">
        <is>
          <t>(President)</t>
        </is>
      </c>
      <c r="D54" s="19" t="inlineStr"/>
      <c r="E54" s="19" t="inlineStr">
        <is>
          <t>via wnygs.org</t>
        </is>
      </c>
      <c r="F54" s="19" t="inlineStr">
        <is>
          <t>2</t>
        </is>
      </c>
      <c r="G54" s="19" t="inlineStr"/>
      <c r="H54" s="19" t="inlineStr"/>
      <c r="I54" s="19" t="inlineStr">
        <is>
          <t>No</t>
        </is>
      </c>
      <c r="J54" s="19" t="inlineStr">
        <is>
          <t>No</t>
        </is>
      </c>
      <c r="K54" s="19" t="inlineStr"/>
      <c r="L54" s="19" t="inlineStr">
        <is>
          <t>Website contact form only</t>
        </is>
      </c>
      <c r="M54" s="19" t="inlineStr"/>
      <c r="N54" s="19" t="inlineStr">
        <is>
          <t>Not sent</t>
        </is>
      </c>
      <c r="O54" s="19" t="inlineStr">
        <is>
          <t>Manual: contact form</t>
        </is>
      </c>
    </row>
    <row r="55">
      <c r="A55" s="19" t="inlineStr">
        <is>
          <t>SK (Saskatoon)</t>
        </is>
      </c>
      <c r="B55" s="19" t="inlineStr">
        <is>
          <t>SGS Saskatoon Branch</t>
        </is>
      </c>
      <c r="C55" s="19" t="inlineStr">
        <is>
          <t>(President)</t>
        </is>
      </c>
      <c r="D55" s="19" t="inlineStr"/>
      <c r="E55" s="19" t="inlineStr">
        <is>
          <t>sbsgsmembership@gmail.com</t>
        </is>
      </c>
      <c r="F55" s="19" t="inlineStr">
        <is>
          <t>2</t>
        </is>
      </c>
      <c r="G55" s="19" t="inlineStr">
        <is>
          <t>2026-08-06</t>
        </is>
      </c>
      <c r="H55" s="19" t="inlineStr">
        <is>
          <t>r-8773317706825898712</t>
        </is>
      </c>
      <c r="I55" s="19" t="inlineStr">
        <is>
          <t>Yes</t>
        </is>
      </c>
      <c r="J55" s="19" t="inlineStr">
        <is>
          <t>No</t>
        </is>
      </c>
      <c r="K55" s="19" t="inlineStr">
        <is>
          <t>2026-08-20</t>
        </is>
      </c>
      <c r="L55" s="19" t="inlineStr">
        <is>
          <t>⚠️ No reply after 2 weeks — consider follow-up</t>
        </is>
      </c>
      <c r="M55" s="19" t="inlineStr"/>
      <c r="N55" s="19" t="inlineStr">
        <is>
          <t>No reply</t>
        </is>
      </c>
      <c r="O55" s="19" t="inlineStr">
        <is>
          <t>Second-touch note (week1-followups.md template)</t>
        </is>
      </c>
    </row>
    <row r="56">
      <c r="A56" s="19" t="inlineStr">
        <is>
          <t>BC (Victoria)</t>
        </is>
      </c>
      <c r="B56" s="19" t="inlineStr">
        <is>
          <t>Victoria Genealogical Society</t>
        </is>
      </c>
      <c r="C56" s="19" t="inlineStr">
        <is>
          <t>(President)</t>
        </is>
      </c>
      <c r="D56" s="19" t="inlineStr"/>
      <c r="E56" s="19" t="inlineStr">
        <is>
          <t>president@victoriags.org</t>
        </is>
      </c>
      <c r="F56" s="19" t="inlineStr">
        <is>
          <t>2</t>
        </is>
      </c>
      <c r="G56" s="19" t="inlineStr">
        <is>
          <t>2026-08-06</t>
        </is>
      </c>
      <c r="H56" s="19" t="inlineStr">
        <is>
          <t>r7749311582828411471</t>
        </is>
      </c>
      <c r="I56" s="19" t="inlineStr">
        <is>
          <t>Yes</t>
        </is>
      </c>
      <c r="J56" s="19" t="inlineStr">
        <is>
          <t>No</t>
        </is>
      </c>
      <c r="K56" s="19" t="inlineStr">
        <is>
          <t>2026-08-20</t>
        </is>
      </c>
      <c r="L56" s="19" t="inlineStr">
        <is>
          <t>⚠️ No reply after 2 weeks — consider follow-up</t>
        </is>
      </c>
      <c r="M56" s="19" t="inlineStr"/>
      <c r="N56" s="19" t="inlineStr">
        <is>
          <t>No reply</t>
        </is>
      </c>
      <c r="O56" s="19" t="inlineStr">
        <is>
          <t>Second-touch note (week1-followups.md template)</t>
        </is>
      </c>
    </row>
    <row r="57">
      <c r="A57" s="19" t="inlineStr">
        <is>
          <t>BC (Nanaimo)</t>
        </is>
      </c>
      <c r="B57" s="19" t="inlineStr">
        <is>
          <t>Nanaimo Family History Society</t>
        </is>
      </c>
      <c r="C57" s="19" t="inlineStr">
        <is>
          <t>(President)</t>
        </is>
      </c>
      <c r="D57" s="19" t="inlineStr"/>
      <c r="E57" s="19" t="inlineStr">
        <is>
          <t>infoNFHS@gmail.com</t>
        </is>
      </c>
      <c r="F57" s="19" t="inlineStr">
        <is>
          <t>2</t>
        </is>
      </c>
      <c r="G57" s="19" t="inlineStr">
        <is>
          <t>2026-08-06</t>
        </is>
      </c>
      <c r="H57" s="19" t="inlineStr">
        <is>
          <t>r-2272079833503129997</t>
        </is>
      </c>
      <c r="I57" s="19" t="inlineStr">
        <is>
          <t>Yes</t>
        </is>
      </c>
      <c r="J57" s="19" t="inlineStr">
        <is>
          <t>No</t>
        </is>
      </c>
      <c r="K57" s="19" t="inlineStr">
        <is>
          <t>2026-08-20</t>
        </is>
      </c>
      <c r="L57" s="19" t="inlineStr">
        <is>
          <t>⚠️ No reply after 2 weeks — consider follow-up</t>
        </is>
      </c>
      <c r="M57" s="19" t="inlineStr"/>
      <c r="N57" s="19" t="inlineStr">
        <is>
          <t>No reply</t>
        </is>
      </c>
      <c r="O57" s="19" t="inlineStr">
        <is>
          <t>Second-touch note (week1-followups.md template)</t>
        </is>
      </c>
    </row>
    <row r="58">
      <c r="A58" s="19" t="inlineStr">
        <is>
          <t>QC (Outaouais)</t>
        </is>
      </c>
      <c r="B58" s="19" t="inlineStr">
        <is>
          <t>Société de généalogie de l'Outaouais</t>
        </is>
      </c>
      <c r="C58" s="19" t="inlineStr">
        <is>
          <t>Claude Crégheur</t>
        </is>
      </c>
      <c r="D58" s="19" t="inlineStr">
        <is>
          <t>Président</t>
        </is>
      </c>
      <c r="E58" s="19" t="inlineStr">
        <is>
          <t>sgo@genealogieoutaouais.com</t>
        </is>
      </c>
      <c r="F58" s="19" t="inlineStr">
        <is>
          <t>2</t>
        </is>
      </c>
      <c r="G58" s="19" t="inlineStr">
        <is>
          <t>2026-08-06</t>
        </is>
      </c>
      <c r="H58" s="19" t="inlineStr">
        <is>
          <t>r-7097995874233676350</t>
        </is>
      </c>
      <c r="I58" s="19" t="inlineStr">
        <is>
          <t>Yes</t>
        </is>
      </c>
      <c r="J58" s="19" t="inlineStr">
        <is>
          <t>No</t>
        </is>
      </c>
      <c r="K58" s="19" t="inlineStr">
        <is>
          <t>2026-08-20</t>
        </is>
      </c>
      <c r="L58" s="19" t="inlineStr">
        <is>
          <t>⚠️ No reply after 2 weeks — consider follow-up</t>
        </is>
      </c>
      <c r="M58" s="19" t="inlineStr"/>
      <c r="N58" s="19" t="inlineStr">
        <is>
          <t>No reply</t>
        </is>
      </c>
      <c r="O58" s="19" t="inlineStr">
        <is>
          <t>Second-touch note (week1-followups.md template)</t>
        </is>
      </c>
    </row>
    <row r="59">
      <c r="A59" s="19" t="inlineStr">
        <is>
          <t>NL (Stephenville)</t>
        </is>
      </c>
      <c r="B59" s="19" t="inlineStr">
        <is>
          <t>Bay St. George Genealogical Society</t>
        </is>
      </c>
      <c r="C59" s="19" t="inlineStr">
        <is>
          <t>Peggy Bennett</t>
        </is>
      </c>
      <c r="D59" s="19" t="inlineStr">
        <is>
          <t>Contact</t>
        </is>
      </c>
      <c r="E59" s="19" t="inlineStr">
        <is>
          <t>bsggs2@hotmail.com</t>
        </is>
      </c>
      <c r="F59" s="19" t="inlineStr">
        <is>
          <t>2</t>
        </is>
      </c>
      <c r="G59" s="19" t="inlineStr">
        <is>
          <t>2026-08-06</t>
        </is>
      </c>
      <c r="H59" s="19" t="inlineStr">
        <is>
          <t>r-2073471127125010440</t>
        </is>
      </c>
      <c r="I59" s="19" t="inlineStr">
        <is>
          <t>Yes</t>
        </is>
      </c>
      <c r="J59" s="19" t="inlineStr">
        <is>
          <t>No</t>
        </is>
      </c>
      <c r="K59" s="19" t="inlineStr">
        <is>
          <t>2026-08-20</t>
        </is>
      </c>
      <c r="L59" s="19" t="inlineStr">
        <is>
          <t>⚠️ No reply after 2 weeks — consider follow-up</t>
        </is>
      </c>
      <c r="M59" s="19" t="inlineStr"/>
      <c r="N59" s="19" t="inlineStr">
        <is>
          <t>No reply</t>
        </is>
      </c>
      <c r="O59" s="19" t="inlineStr">
        <is>
          <t>Second-touch note (week1-followups.md template)</t>
        </is>
      </c>
    </row>
    <row r="60">
      <c r="A60" s="19" t="inlineStr">
        <is>
          <t>Umbrella (MI)</t>
        </is>
      </c>
      <c r="B60" s="19" t="inlineStr">
        <is>
          <t>Michigan Genealogical Council</t>
        </is>
      </c>
      <c r="C60" s="19" t="inlineStr">
        <is>
          <t>Judy Nimer Muhn</t>
        </is>
      </c>
      <c r="D60" s="19" t="inlineStr">
        <is>
          <t>President</t>
        </is>
      </c>
      <c r="E60" s="19" t="inlineStr">
        <is>
          <t>web@mimgc.org</t>
        </is>
      </c>
      <c r="F60" s="19" t="inlineStr">
        <is>
          <t>2</t>
        </is>
      </c>
      <c r="G60" s="19" t="inlineStr">
        <is>
          <t>2026-08-06</t>
        </is>
      </c>
      <c r="H60" s="19" t="inlineStr">
        <is>
          <t>r1824549678040790476</t>
        </is>
      </c>
      <c r="I60" s="19" t="inlineStr">
        <is>
          <t>Yes</t>
        </is>
      </c>
      <c r="J60" s="19" t="inlineStr">
        <is>
          <t>No</t>
        </is>
      </c>
      <c r="K60" s="19" t="inlineStr">
        <is>
          <t>2026-08-20</t>
        </is>
      </c>
      <c r="L60" s="19" t="inlineStr">
        <is>
          <t>⚠️ No reply after 2 weeks — consider follow-up</t>
        </is>
      </c>
      <c r="M60" s="19" t="inlineStr"/>
      <c r="N60" s="19" t="inlineStr">
        <is>
          <t>No reply</t>
        </is>
      </c>
      <c r="O60" s="19" t="inlineStr">
        <is>
          <t>Second-touch note (week1-followups.md template)</t>
        </is>
      </c>
    </row>
    <row r="61">
      <c r="A61" s="19" t="inlineStr">
        <is>
          <t>Umbrella (CO)</t>
        </is>
      </c>
      <c r="B61" s="19" t="inlineStr">
        <is>
          <t>Colorado Council of Genealogical Societies</t>
        </is>
      </c>
      <c r="C61" s="19" t="inlineStr">
        <is>
          <t>S. Kelly Glenn</t>
        </is>
      </c>
      <c r="D61" s="19" t="inlineStr">
        <is>
          <t>President</t>
        </is>
      </c>
      <c r="E61" s="19" t="inlineStr">
        <is>
          <t>president@cocouncil.org</t>
        </is>
      </c>
      <c r="F61" s="19" t="inlineStr">
        <is>
          <t>2</t>
        </is>
      </c>
      <c r="G61" s="19" t="inlineStr">
        <is>
          <t>2026-08-06</t>
        </is>
      </c>
      <c r="H61" s="19" t="inlineStr">
        <is>
          <t>r-293628322099784808</t>
        </is>
      </c>
      <c r="I61" s="19" t="inlineStr">
        <is>
          <t>Yes</t>
        </is>
      </c>
      <c r="J61" s="19" t="inlineStr">
        <is>
          <t>Yes</t>
        </is>
      </c>
      <c r="K61" s="19" t="inlineStr">
        <is>
          <t>2026-08-20</t>
        </is>
      </c>
      <c r="L61" s="19" t="inlineStr">
        <is>
          <t>⚠️ No reply after 2 weeks — consider follow-up</t>
        </is>
      </c>
      <c r="M61" s="19" t="inlineStr">
        <is>
          <t>2026-09-08 follow-up sent</t>
        </is>
      </c>
      <c r="N61" s="19" t="inlineStr">
        <is>
          <t>Forwarded to CO societies</t>
        </is>
      </c>
      <c r="O61" s="19" t="inlineStr">
        <is>
          <t>Wait for Colorado GS; nudge Kelly 2026-09-22</t>
        </is>
      </c>
    </row>
    <row r="62">
      <c r="A62" s="19" t="inlineStr">
        <is>
          <t>OH (Cincinnati)</t>
        </is>
      </c>
      <c r="B62" s="19" t="inlineStr">
        <is>
          <t>Hamilton County GS (OGS)</t>
        </is>
      </c>
      <c r="C62" s="19" t="inlineStr">
        <is>
          <t>Kenny R. Burck</t>
        </is>
      </c>
      <c r="D62" s="19" t="inlineStr">
        <is>
          <t>President</t>
        </is>
      </c>
      <c r="E62" s="19" t="inlineStr">
        <is>
          <t>president@hcgsohio.org; cc tracer@hcgsohio.org</t>
        </is>
      </c>
      <c r="F62" s="19" t="inlineStr">
        <is>
          <t>3</t>
        </is>
      </c>
      <c r="G62" s="19" t="inlineStr">
        <is>
          <t>2026-09-09</t>
        </is>
      </c>
      <c r="H62" s="19" t="inlineStr">
        <is>
          <t>r1746344628904027897</t>
        </is>
      </c>
      <c r="I62" s="19" t="inlineStr">
        <is>
          <t>Yes</t>
        </is>
      </c>
      <c r="J62" s="19" t="inlineStr">
        <is>
          <t>No</t>
        </is>
      </c>
      <c r="K62" s="19" t="inlineStr">
        <is>
          <t>2026-09-23</t>
        </is>
      </c>
      <c r="L62" s="19" t="inlineStr">
        <is>
          <t>Cc Tracer editor Eileen Muccino</t>
        </is>
      </c>
      <c r="M62" s="19" t="inlineStr"/>
      <c r="N62" s="19" t="inlineStr">
        <is>
          <t>Sent 2026-09-09</t>
        </is>
      </c>
      <c r="O62" s="19" t="inlineStr">
        <is>
          <t>Second touch 09-23</t>
        </is>
      </c>
    </row>
    <row r="63">
      <c r="A63" s="19" t="inlineStr">
        <is>
          <t>OH (Columbus)</t>
        </is>
      </c>
      <c r="B63" s="19" t="inlineStr">
        <is>
          <t>Franklin County G&amp;HS (OGS)</t>
        </is>
      </c>
      <c r="C63" s="19" t="inlineStr">
        <is>
          <t>Darlene Ragland Ford</t>
        </is>
      </c>
      <c r="D63" s="19" t="inlineStr">
        <is>
          <t>President</t>
        </is>
      </c>
      <c r="E63" s="19" t="inlineStr">
        <is>
          <t>TFCGHS@gmail.com</t>
        </is>
      </c>
      <c r="F63" s="19" t="inlineStr">
        <is>
          <t>3</t>
        </is>
      </c>
      <c r="G63" s="19" t="inlineStr">
        <is>
          <t>2026-09-09</t>
        </is>
      </c>
      <c r="H63" s="19" t="inlineStr">
        <is>
          <t>r602284924153423675</t>
        </is>
      </c>
      <c r="I63" s="19" t="inlineStr">
        <is>
          <t>Yes</t>
        </is>
      </c>
      <c r="J63" s="19" t="inlineStr">
        <is>
          <t>No</t>
        </is>
      </c>
      <c r="K63" s="19" t="inlineStr">
        <is>
          <t>2026-09-23</t>
        </is>
      </c>
      <c r="L63" s="19" t="inlineStr"/>
      <c r="M63" s="19" t="inlineStr"/>
      <c r="N63" s="19" t="inlineStr">
        <is>
          <t>Sent 2026-09-09</t>
        </is>
      </c>
      <c r="O63" s="19" t="inlineStr">
        <is>
          <t>Second touch 09-23</t>
        </is>
      </c>
    </row>
    <row r="64">
      <c r="A64" s="19" t="inlineStr">
        <is>
          <t>OH (Akron)</t>
        </is>
      </c>
      <c r="B64" s="19" t="inlineStr">
        <is>
          <t>Summit County Chapter OGS</t>
        </is>
      </c>
      <c r="C64" s="19" t="inlineStr">
        <is>
          <t>Becky A. Shaddix</t>
        </is>
      </c>
      <c r="D64" s="19" t="inlineStr">
        <is>
          <t>Programming chair</t>
        </is>
      </c>
      <c r="E64" s="19" t="inlineStr">
        <is>
          <t>info@summitogs.org</t>
        </is>
      </c>
      <c r="F64" s="19" t="inlineStr">
        <is>
          <t>3</t>
        </is>
      </c>
      <c r="G64" s="19" t="inlineStr">
        <is>
          <t>2026-09-09</t>
        </is>
      </c>
      <c r="H64" s="19" t="inlineStr">
        <is>
          <t>r-2510621849993816418</t>
        </is>
      </c>
      <c r="I64" s="19" t="inlineStr">
        <is>
          <t>Yes</t>
        </is>
      </c>
      <c r="J64" s="19" t="inlineStr">
        <is>
          <t>No</t>
        </is>
      </c>
      <c r="K64" s="19" t="inlineStr">
        <is>
          <t>2026-09-23</t>
        </is>
      </c>
      <c r="L64" s="19" t="inlineStr"/>
      <c r="M64" s="19" t="inlineStr"/>
      <c r="N64" s="19" t="inlineStr">
        <is>
          <t>Sent 2026-09-09</t>
        </is>
      </c>
      <c r="O64" s="19" t="inlineStr">
        <is>
          <t>Second touch 09-23</t>
        </is>
      </c>
    </row>
    <row r="65">
      <c r="A65" s="19" t="inlineStr">
        <is>
          <t>OH (Xenia)</t>
        </is>
      </c>
      <c r="B65" s="19" t="inlineStr">
        <is>
          <t>Greene County Chapter OGS</t>
        </is>
      </c>
      <c r="C65" s="19" t="inlineStr">
        <is>
          <t>Alan McCain</t>
        </is>
      </c>
      <c r="D65" s="19" t="inlineStr">
        <is>
          <t>President</t>
        </is>
      </c>
      <c r="E65" s="19" t="inlineStr">
        <is>
          <t>greenecountyogs.com/contact.html</t>
        </is>
      </c>
      <c r="F65" s="19" t="inlineStr">
        <is>
          <t>3</t>
        </is>
      </c>
      <c r="G65" s="19" t="inlineStr">
        <is>
          <t>2026-09-09</t>
        </is>
      </c>
      <c r="H65" s="19" t="inlineStr">
        <is>
          <t>r5541059543613201104</t>
        </is>
      </c>
      <c r="I65" s="19" t="inlineStr">
        <is>
          <t>No</t>
        </is>
      </c>
      <c r="J65" s="19" t="inlineStr">
        <is>
          <t>No</t>
        </is>
      </c>
      <c r="K65" s="19" t="inlineStr"/>
      <c r="L65" s="19" t="inlineStr">
        <is>
          <t>Contact form only. Draft body went to state OGS president instead (see OH row).</t>
        </is>
      </c>
      <c r="M65" s="19" t="inlineStr"/>
      <c r="N65" s="19" t="inlineStr"/>
      <c r="O65" s="19" t="inlineStr">
        <is>
          <t>Paste body into their form</t>
        </is>
      </c>
    </row>
    <row r="66">
      <c r="A66" s="19" t="inlineStr">
        <is>
          <t>TX (Fort Worth)</t>
        </is>
      </c>
      <c r="B66" s="19" t="inlineStr">
        <is>
          <t>Fort Worth GS</t>
        </is>
      </c>
      <c r="C66" s="19" t="inlineStr">
        <is>
          <t>Carlene Johnson</t>
        </is>
      </c>
      <c r="D66" s="19" t="inlineStr">
        <is>
          <t>President</t>
        </is>
      </c>
      <c r="E66" s="19" t="inlineStr">
        <is>
          <t>president@txfwgs.org; cc Newsletter@txfwgs.org</t>
        </is>
      </c>
      <c r="F66" s="19" t="inlineStr">
        <is>
          <t>3</t>
        </is>
      </c>
      <c r="G66" s="19" t="inlineStr">
        <is>
          <t>2026-09-09</t>
        </is>
      </c>
      <c r="H66" s="19" t="inlineStr">
        <is>
          <t>r2500362013132395826</t>
        </is>
      </c>
      <c r="I66" s="19" t="inlineStr">
        <is>
          <t>Yes</t>
        </is>
      </c>
      <c r="J66" s="19" t="inlineStr">
        <is>
          <t>No</t>
        </is>
      </c>
      <c r="K66" s="19" t="inlineStr">
        <is>
          <t>2026-09-23</t>
        </is>
      </c>
      <c r="L66" s="19" t="inlineStr">
        <is>
          <t>Cc newsletter editor Janice Blakely</t>
        </is>
      </c>
      <c r="M66" s="19" t="inlineStr"/>
      <c r="N66" s="19" t="inlineStr">
        <is>
          <t>Sent 2026-09-09</t>
        </is>
      </c>
      <c r="O66" s="19" t="inlineStr">
        <is>
          <t>Second touch 09-23</t>
        </is>
      </c>
    </row>
    <row r="67">
      <c r="A67" s="19" t="inlineStr">
        <is>
          <t>TX (El Paso)</t>
        </is>
      </c>
      <c r="B67" s="19" t="inlineStr">
        <is>
          <t>El Paso GS</t>
        </is>
      </c>
      <c r="C67" s="19" t="inlineStr">
        <is>
          <t>Sandra Lewis</t>
        </is>
      </c>
      <c r="D67" s="19" t="inlineStr">
        <is>
          <t>(directory contact)</t>
        </is>
      </c>
      <c r="E67" s="19" t="inlineStr">
        <is>
          <t>sandySKL@aol.com</t>
        </is>
      </c>
      <c r="F67" s="19" t="inlineStr">
        <is>
          <t>3</t>
        </is>
      </c>
      <c r="G67" s="19" t="inlineStr">
        <is>
          <t>2026-09-09</t>
        </is>
      </c>
      <c r="H67" s="19" t="inlineStr">
        <is>
          <t>r-5770808184184527537</t>
        </is>
      </c>
      <c r="I67" s="19" t="inlineStr">
        <is>
          <t>Yes</t>
        </is>
      </c>
      <c r="J67" s="19" t="inlineStr">
        <is>
          <t>No</t>
        </is>
      </c>
      <c r="K67" s="19" t="inlineStr">
        <is>
          <t>2026-09-23</t>
        </is>
      </c>
      <c r="L67" s="19" t="inlineStr">
        <is>
          <t>Low-confidence address; watch for bounce</t>
        </is>
      </c>
      <c r="M67" s="19" t="inlineStr"/>
      <c r="N67" s="19" t="inlineStr">
        <is>
          <t>Sent 2026-09-09</t>
        </is>
      </c>
      <c r="O67" s="19" t="inlineStr">
        <is>
          <t>Second touch 09-23 if no bounce</t>
        </is>
      </c>
    </row>
    <row r="68">
      <c r="A68" s="19" t="inlineStr">
        <is>
          <t>LA (Baton Rouge)</t>
        </is>
      </c>
      <c r="B68" s="19" t="inlineStr">
        <is>
          <t>Le Comité des Archives de la Louisiane</t>
        </is>
      </c>
      <c r="C68" s="19" t="inlineStr">
        <is>
          <t>Judy Riffel</t>
        </is>
      </c>
      <c r="D68" s="19" t="inlineStr">
        <is>
          <t>Treasurer / Le Raconteur editor</t>
        </is>
      </c>
      <c r="E68" s="19" t="inlineStr">
        <is>
          <t>riffelj@bellsouth.net; cc cherrylm@aol.com</t>
        </is>
      </c>
      <c r="F68" s="19" t="inlineStr">
        <is>
          <t>3</t>
        </is>
      </c>
      <c r="G68" s="19" t="inlineStr">
        <is>
          <t>2026-09-09</t>
        </is>
      </c>
      <c r="H68" s="19" t="inlineStr">
        <is>
          <t>r7336543385555218890</t>
        </is>
      </c>
      <c r="I68" s="19" t="inlineStr">
        <is>
          <t>Yes</t>
        </is>
      </c>
      <c r="J68" s="19" t="inlineStr">
        <is>
          <t>No</t>
        </is>
      </c>
      <c r="K68" s="19" t="inlineStr">
        <is>
          <t>2026-09-23</t>
        </is>
      </c>
      <c r="L68" s="19" t="inlineStr">
        <is>
          <t>Cc president Cherryl Forbes Montgomery; annual meeting Sep 27</t>
        </is>
      </c>
      <c r="M68" s="19" t="inlineStr"/>
      <c r="N68" s="19" t="inlineStr">
        <is>
          <t>Sent 2026-09-09</t>
        </is>
      </c>
      <c r="O68" s="19" t="inlineStr">
        <is>
          <t>Second touch 09-23</t>
        </is>
      </c>
    </row>
    <row r="69">
      <c r="A69" s="19" t="inlineStr">
        <is>
          <t>LA (Houma)</t>
        </is>
      </c>
      <c r="B69" s="19" t="inlineStr">
        <is>
          <t>Terrebonne GS</t>
        </is>
      </c>
      <c r="C69" s="19" t="inlineStr">
        <is>
          <t>Wanda Moore</t>
        </is>
      </c>
      <c r="D69" s="19" t="inlineStr">
        <is>
          <t>President / editor</t>
        </is>
      </c>
      <c r="E69" s="19" t="inlineStr">
        <is>
          <t>wmoore1048@aol.com</t>
        </is>
      </c>
      <c r="F69" s="19" t="inlineStr">
        <is>
          <t>3</t>
        </is>
      </c>
      <c r="G69" s="19" t="inlineStr">
        <is>
          <t>2026-09-09</t>
        </is>
      </c>
      <c r="H69" s="19" t="inlineStr">
        <is>
          <t>r403049624100166460</t>
        </is>
      </c>
      <c r="I69" s="19" t="inlineStr">
        <is>
          <t>Yes</t>
        </is>
      </c>
      <c r="J69" s="19" t="inlineStr">
        <is>
          <t>No</t>
        </is>
      </c>
      <c r="K69" s="19" t="inlineStr">
        <is>
          <t>2026-09-23</t>
        </is>
      </c>
      <c r="L69" s="19" t="inlineStr"/>
      <c r="M69" s="19" t="inlineStr"/>
      <c r="N69" s="19" t="inlineStr">
        <is>
          <t>Sent 2026-09-09</t>
        </is>
      </c>
      <c r="O69" s="19" t="inlineStr">
        <is>
          <t>Second touch 09-23</t>
        </is>
      </c>
    </row>
    <row r="70">
      <c r="A70" s="19" t="inlineStr">
        <is>
          <t>LA (Metairie)</t>
        </is>
      </c>
      <c r="B70" s="19" t="inlineStr">
        <is>
          <t>Jefferson GS</t>
        </is>
      </c>
      <c r="C70" s="19" t="inlineStr">
        <is>
          <t>Michele Lehmann</t>
        </is>
      </c>
      <c r="D70" s="19" t="inlineStr">
        <is>
          <t>President</t>
        </is>
      </c>
      <c r="E70" s="19" t="inlineStr">
        <is>
          <t>jpgsociety@gmail.com</t>
        </is>
      </c>
      <c r="F70" s="19" t="inlineStr">
        <is>
          <t>3</t>
        </is>
      </c>
      <c r="G70" s="19" t="inlineStr">
        <is>
          <t>2026-09-09</t>
        </is>
      </c>
      <c r="H70" s="19" t="inlineStr">
        <is>
          <t>r9117565727987639067</t>
        </is>
      </c>
      <c r="I70" s="19" t="inlineStr">
        <is>
          <t>Yes</t>
        </is>
      </c>
      <c r="J70" s="19" t="inlineStr">
        <is>
          <t>No</t>
        </is>
      </c>
      <c r="K70" s="19" t="inlineStr">
        <is>
          <t>2026-09-23</t>
        </is>
      </c>
      <c r="L70" s="19" t="inlineStr">
        <is>
          <t>Roster date old; 'right person' line used</t>
        </is>
      </c>
      <c r="M70" s="19" t="inlineStr"/>
      <c r="N70" s="19" t="inlineStr">
        <is>
          <t>Sent 2026-09-09</t>
        </is>
      </c>
      <c r="O70" s="19" t="inlineStr">
        <is>
          <t>Second touch 09-23</t>
        </is>
      </c>
    </row>
    <row r="71">
      <c r="A71" s="19" t="inlineStr">
        <is>
          <t>PA (Pittsburgh)</t>
        </is>
      </c>
      <c r="B71" s="19" t="inlineStr">
        <is>
          <t>Western Pennsylvania GS</t>
        </is>
      </c>
      <c r="C71" s="19" t="inlineStr">
        <is>
          <t>(President)</t>
        </is>
      </c>
      <c r="D71" s="19" t="inlineStr">
        <is>
          <t>President</t>
        </is>
      </c>
      <c r="E71" s="19" t="inlineStr">
        <is>
          <t>president@wpgs.org; cc jots@wpgs.org</t>
        </is>
      </c>
      <c r="F71" s="19" t="inlineStr">
        <is>
          <t>3</t>
        </is>
      </c>
      <c r="G71" s="19" t="inlineStr">
        <is>
          <t>2026-09-09</t>
        </is>
      </c>
      <c r="H71" s="19" t="inlineStr">
        <is>
          <t>r1373555224716994507</t>
        </is>
      </c>
      <c r="I71" s="19" t="inlineStr">
        <is>
          <t>Yes</t>
        </is>
      </c>
      <c r="J71" s="19" t="inlineStr">
        <is>
          <t>No</t>
        </is>
      </c>
      <c r="K71" s="19" t="inlineStr">
        <is>
          <t>2026-09-23</t>
        </is>
      </c>
      <c r="L71" s="19" t="inlineStr">
        <is>
          <t>Cc Jots editor</t>
        </is>
      </c>
      <c r="M71" s="19" t="inlineStr"/>
      <c r="N71" s="19" t="inlineStr">
        <is>
          <t>Sent 2026-09-09</t>
        </is>
      </c>
      <c r="O71" s="19" t="inlineStr">
        <is>
          <t>Second touch 09-23</t>
        </is>
      </c>
    </row>
    <row r="72">
      <c r="A72" s="19" t="inlineStr">
        <is>
          <t>PA (Lancaster)</t>
        </is>
      </c>
      <c r="B72" s="19" t="inlineStr">
        <is>
          <t>LancasterHistory</t>
        </is>
      </c>
      <c r="C72" s="19" t="inlineStr">
        <is>
          <t>Aimee Caya</t>
        </is>
      </c>
      <c r="D72" s="19" t="inlineStr">
        <is>
          <t>Director of Collections &amp; Research</t>
        </is>
      </c>
      <c r="E72" s="19" t="inlineStr">
        <is>
          <t>research@lancasterhistory.org</t>
        </is>
      </c>
      <c r="F72" s="19" t="inlineStr">
        <is>
          <t>3</t>
        </is>
      </c>
      <c r="G72" s="19" t="inlineStr">
        <is>
          <t>2026-09-09</t>
        </is>
      </c>
      <c r="H72" s="19" t="inlineStr">
        <is>
          <t>r6313005950239688333</t>
        </is>
      </c>
      <c r="I72" s="19" t="inlineStr">
        <is>
          <t>Yes</t>
        </is>
      </c>
      <c r="J72" s="19" t="inlineStr">
        <is>
          <t>No</t>
        </is>
      </c>
      <c r="K72" s="19" t="inlineStr">
        <is>
          <t>2026-09-23</t>
        </is>
      </c>
      <c r="L72" s="19" t="inlineStr">
        <is>
          <t>Research center, separate pitch; Genealogy 101 Oct 17</t>
        </is>
      </c>
      <c r="M72" s="19" t="inlineStr"/>
      <c r="N72" s="19" t="inlineStr">
        <is>
          <t>Sent 2026-09-09</t>
        </is>
      </c>
      <c r="O72" s="19" t="inlineStr">
        <is>
          <t>Second touch 09-23</t>
        </is>
      </c>
    </row>
    <row r="73">
      <c r="A73" s="19" t="inlineStr">
        <is>
          <t>UT</t>
        </is>
      </c>
      <c r="B73" s="19" t="inlineStr">
        <is>
          <t>Utah Genealogical Association (Crossroads)</t>
        </is>
      </c>
      <c r="C73" s="19" t="inlineStr">
        <is>
          <t>Eva Holmes AG CG</t>
        </is>
      </c>
      <c r="D73" s="19" t="inlineStr">
        <is>
          <t>Crossroads editor</t>
        </is>
      </c>
      <c r="E73" s="19" t="inlineStr">
        <is>
          <t>eva@blindhopes.com</t>
        </is>
      </c>
      <c r="F73" s="19" t="inlineStr">
        <is>
          <t>3</t>
        </is>
      </c>
      <c r="G73" s="19" t="inlineStr">
        <is>
          <t>2026-09-09</t>
        </is>
      </c>
      <c r="H73" s="19" t="inlineStr">
        <is>
          <t>r-4098554253290253710</t>
        </is>
      </c>
      <c r="I73" s="19" t="inlineStr">
        <is>
          <t>Yes</t>
        </is>
      </c>
      <c r="J73" s="19" t="inlineStr">
        <is>
          <t>No</t>
        </is>
      </c>
      <c r="K73" s="19" t="inlineStr">
        <is>
          <t>2026-09-23</t>
        </is>
      </c>
      <c r="L73" s="19" t="inlineStr">
        <is>
          <t>Second approach after Aug info@ silence</t>
        </is>
      </c>
      <c r="M73" s="19" t="inlineStr"/>
      <c r="N73" s="19" t="inlineStr">
        <is>
          <t>Sent 2026-09-09</t>
        </is>
      </c>
      <c r="O73" s="19" t="inlineStr">
        <is>
          <t>Second touch 09-23</t>
        </is>
      </c>
    </row>
    <row r="74">
      <c r="A74" s="19" t="inlineStr">
        <is>
          <t>QC (Québec)</t>
        </is>
      </c>
      <c r="B74" s="19" t="inlineStr">
        <is>
          <t>Société de généalogie de Québec</t>
        </is>
      </c>
      <c r="C74" s="19" t="inlineStr">
        <is>
          <t>Guy Auclair</t>
        </is>
      </c>
      <c r="D74" s="19" t="inlineStr">
        <is>
          <t>Président</t>
        </is>
      </c>
      <c r="E74" s="19" t="inlineStr">
        <is>
          <t>info@sgq.qc.ca</t>
        </is>
      </c>
      <c r="F74" s="19" t="inlineStr">
        <is>
          <t>3</t>
        </is>
      </c>
      <c r="G74" s="19" t="inlineStr">
        <is>
          <t>2026-09-09</t>
        </is>
      </c>
      <c r="H74" s="19" t="inlineStr">
        <is>
          <t>r7268770812385893159</t>
        </is>
      </c>
      <c r="I74" s="19" t="inlineStr">
        <is>
          <t>Yes</t>
        </is>
      </c>
      <c r="J74" s="19" t="inlineStr">
        <is>
          <t>No</t>
        </is>
      </c>
      <c r="K74" s="19" t="inlineStr">
        <is>
          <t>2026-09-23</t>
        </is>
      </c>
      <c r="L74" s="19" t="inlineStr">
        <is>
          <t>French</t>
        </is>
      </c>
      <c r="M74" s="19" t="inlineStr"/>
      <c r="N74" s="19" t="inlineStr">
        <is>
          <t>Sent 2026-09-09</t>
        </is>
      </c>
      <c r="O74" s="19" t="inlineStr">
        <is>
          <t>Second touch 09-23 (FR)</t>
        </is>
      </c>
    </row>
    <row r="75">
      <c r="A75" s="19" t="inlineStr">
        <is>
          <t>QC (Trois-Rivières)</t>
        </is>
      </c>
      <c r="B75" s="19" t="inlineStr">
        <is>
          <t>SGGTR</t>
        </is>
      </c>
      <c r="C75" s="19" t="inlineStr">
        <is>
          <t>Serge Poulin</t>
        </is>
      </c>
      <c r="D75" s="19" t="inlineStr">
        <is>
          <t>Président</t>
        </is>
      </c>
      <c r="E75" s="19" t="inlineStr">
        <is>
          <t>info@sggtr.com</t>
        </is>
      </c>
      <c r="F75" s="19" t="inlineStr">
        <is>
          <t>3</t>
        </is>
      </c>
      <c r="G75" s="19" t="inlineStr">
        <is>
          <t>2026-09-09</t>
        </is>
      </c>
      <c r="H75" s="19" t="inlineStr">
        <is>
          <t>r-2752153825997096112</t>
        </is>
      </c>
      <c r="I75" s="19" t="inlineStr">
        <is>
          <t>Yes</t>
        </is>
      </c>
      <c r="J75" s="19" t="inlineStr">
        <is>
          <t>No</t>
        </is>
      </c>
      <c r="K75" s="19" t="inlineStr">
        <is>
          <t>2026-09-23</t>
        </is>
      </c>
      <c r="L75" s="19" t="inlineStr">
        <is>
          <t>French; ~300 members</t>
        </is>
      </c>
      <c r="M75" s="19" t="inlineStr"/>
      <c r="N75" s="19" t="inlineStr">
        <is>
          <t>Sent 2026-09-09</t>
        </is>
      </c>
      <c r="O75" s="19" t="inlineStr">
        <is>
          <t>Second touch 09-23 (FR)</t>
        </is>
      </c>
    </row>
    <row r="76">
      <c r="A76" s="19" t="inlineStr">
        <is>
          <t>Partner</t>
        </is>
      </c>
      <c r="B76" s="19" t="inlineStr">
        <is>
          <t>Software MacKiev (Family Tree Maker)</t>
        </is>
      </c>
      <c r="C76" s="19" t="inlineStr">
        <is>
          <t>Jack Minsky</t>
        </is>
      </c>
      <c r="D76" s="19" t="inlineStr">
        <is>
          <t>President</t>
        </is>
      </c>
      <c r="E76" s="19" t="inlineStr">
        <is>
          <t>familytreemaker@mackiev.com (product inbox; jack@ and jack.minsky@familytreemaker.com bounced)</t>
        </is>
      </c>
      <c r="F76" s="19" t="inlineStr">
        <is>
          <t>P</t>
        </is>
      </c>
      <c r="G76" s="19" t="inlineStr">
        <is>
          <t>2026-09-05</t>
        </is>
      </c>
      <c r="H76" s="19" t="inlineStr">
        <is>
          <t>r430762431272722506</t>
        </is>
      </c>
      <c r="I76" s="19" t="inlineStr">
        <is>
          <t>Yes</t>
        </is>
      </c>
      <c r="J76" s="19" t="inlineStr">
        <is>
          <t>No</t>
        </is>
      </c>
      <c r="K76" s="19" t="inlineStr">
        <is>
          <t>2026-09-23</t>
        </is>
      </c>
      <c r="L76" s="19" t="inlineStr">
        <is>
          <t>Intro reworded to ask for routing to Jack; delivered 15:01 ET</t>
        </is>
      </c>
      <c r="M76" s="19" t="inlineStr"/>
      <c r="N76" s="19" t="inlineStr">
        <is>
          <t>Sent 2026-09-09</t>
        </is>
      </c>
      <c r="O76" s="19" t="inlineStr">
        <is>
          <t>Second touch 09-23; LinkedIn note as alternate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8" customWidth="1" style="17" min="1" max="1"/>
    <col width="28" customWidth="1" style="17" min="2" max="2"/>
    <col width="18" customWidth="1" style="17" min="3" max="3"/>
    <col width="34" customWidth="1" style="17" min="4" max="4"/>
    <col width="34" customWidth="1" style="17" min="5" max="5"/>
    <col width="18" customWidth="1" style="17" min="6" max="6"/>
    <col width="40" customWidth="1" style="17" min="7" max="7"/>
    <col width="18" customWidth="1" style="17" min="8" max="8"/>
    <col width="18" customWidth="1" style="17" min="9" max="9"/>
    <col width="18" customWidth="1" style="17" min="10" max="10"/>
    <col width="34" customWidth="1" style="17" min="11" max="11"/>
  </cols>
  <sheetData>
    <row r="1">
      <c r="A1" s="18" t="inlineStr">
        <is>
          <t>Type</t>
        </is>
      </c>
      <c r="B1" s="18" t="inlineStr">
        <is>
          <t>Show / channel</t>
        </is>
      </c>
      <c r="C1" s="18" t="inlineStr">
        <is>
          <t>Host</t>
        </is>
      </c>
      <c r="D1" s="18" t="inlineStr">
        <is>
          <t>Contact route</t>
        </is>
      </c>
      <c r="E1" s="18" t="inlineStr">
        <is>
          <t>Prior contact</t>
        </is>
      </c>
      <c r="F1" s="18" t="inlineStr">
        <is>
          <t>Pitch date (plan)</t>
        </is>
      </c>
      <c r="G1" s="18" t="inlineStr">
        <is>
          <t>Hook / pitch ref</t>
        </is>
      </c>
      <c r="H1" s="18" t="inlineStr">
        <is>
          <t>Warm-up started</t>
        </is>
      </c>
      <c r="I1" s="18" t="inlineStr">
        <is>
          <t>Pitched (date)</t>
        </is>
      </c>
      <c r="J1" s="18" t="inlineStr">
        <is>
          <t>Replied?</t>
        </is>
      </c>
      <c r="K1" s="18" t="inlineStr">
        <is>
          <t>Outcome / notes</t>
        </is>
      </c>
    </row>
    <row r="2">
      <c r="A2" s="19" t="inlineStr">
        <is>
          <t>Podcast</t>
        </is>
      </c>
      <c r="B2" s="19" t="inlineStr">
        <is>
          <t>Research Like a Pro</t>
        </is>
      </c>
      <c r="C2" s="19" t="inlineStr">
        <is>
          <t>Diana Elder &amp; Nicole Dyer</t>
        </is>
      </c>
      <c r="D2" s="19" t="inlineStr">
        <is>
          <t>familylocket.com/contact-us (guest requests)</t>
        </is>
      </c>
      <c r="E2" s="19" t="inlineStr">
        <is>
          <t>2026-07-03 form; DECLINED 07-13 (beta-swamped, 'exhibit at RootsTech')</t>
        </is>
      </c>
      <c r="F2" s="19" t="inlineStr">
        <is>
          <t>2026-09-21</t>
        </is>
      </c>
      <c r="G2" s="19" t="inlineStr">
        <is>
          <t>Second approach; pitch in week3-podcast-pitches.md §1</t>
        </is>
      </c>
      <c r="H2" s="19" t="inlineStr"/>
      <c r="I2" s="19" t="inlineStr"/>
      <c r="J2" s="19" t="inlineStr"/>
      <c r="K2" s="19" t="inlineStr"/>
    </row>
    <row r="3">
      <c r="A3" s="19" t="inlineStr">
        <is>
          <t>Podcast</t>
        </is>
      </c>
      <c r="B3" s="19" t="inlineStr">
        <is>
          <t>The Genealogy Guys</t>
        </is>
      </c>
      <c r="C3" s="19" t="inlineStr">
        <is>
          <t>George Morgan &amp; Drew Smith</t>
        </is>
      </c>
      <c r="D3" s="19" t="inlineStr">
        <is>
          <t>genealogyguys@gmail.com</t>
        </is>
      </c>
      <c r="E3" s="19" t="inlineStr">
        <is>
          <t>none</t>
        </is>
      </c>
      <c r="F3" s="19" t="inlineStr">
        <is>
          <t>2026-09-21</t>
        </is>
      </c>
      <c r="G3" s="19" t="inlineStr">
        <is>
          <t>Review-copy pitch §4</t>
        </is>
      </c>
      <c r="H3" s="19" t="inlineStr"/>
      <c r="I3" s="19" t="inlineStr"/>
      <c r="J3" s="19" t="inlineStr"/>
      <c r="K3" s="19" t="inlineStr"/>
    </row>
    <row r="4">
      <c r="A4" s="19" t="inlineStr">
        <is>
          <t>Podcast</t>
        </is>
      </c>
      <c r="B4" s="19" t="inlineStr">
        <is>
          <t>Genealogy Gems</t>
        </is>
      </c>
      <c r="C4" s="19" t="inlineStr">
        <is>
          <t>Lisa Louise Cooke</t>
        </is>
      </c>
      <c r="D4" s="19" t="inlineStr">
        <is>
          <t>lisalouisecooke.com/contact</t>
        </is>
      </c>
      <c r="E4" s="19" t="inlineStr">
        <is>
          <t>none</t>
        </is>
      </c>
      <c r="F4" s="19" t="inlineStr">
        <is>
          <t>2026-09-22</t>
        </is>
      </c>
      <c r="G4" s="19" t="inlineStr">
        <is>
          <t>Tree Crossing-shaped demo §2</t>
        </is>
      </c>
      <c r="H4" s="19" t="inlineStr"/>
      <c r="I4" s="19" t="inlineStr"/>
      <c r="J4" s="19" t="inlineStr"/>
      <c r="K4" s="19" t="inlineStr"/>
    </row>
    <row r="5">
      <c r="A5" s="19" t="inlineStr">
        <is>
          <t>Podcast</t>
        </is>
      </c>
      <c r="B5" s="19" t="inlineStr">
        <is>
          <t>Family Tree Magazine Podcast</t>
        </is>
      </c>
      <c r="C5" s="19" t="inlineStr">
        <is>
          <t>Andrew Koch</t>
        </is>
      </c>
      <c r="D5" s="19" t="inlineStr">
        <is>
          <t>FamilyTree@Yankeepub.com</t>
        </is>
      </c>
      <c r="E5" s="19" t="inlineStr">
        <is>
          <t>none</t>
        </is>
      </c>
      <c r="F5" s="19" t="inlineStr">
        <is>
          <t>2026-09-22</t>
        </is>
      </c>
      <c r="G5" s="19" t="inlineStr">
        <is>
          <t>Tool-creator interview §3</t>
        </is>
      </c>
      <c r="H5" s="19" t="inlineStr"/>
      <c r="I5" s="19" t="inlineStr"/>
      <c r="J5" s="19" t="inlineStr"/>
      <c r="K5" s="19" t="inlineStr"/>
    </row>
    <row r="6">
      <c r="A6" s="19" t="inlineStr">
        <is>
          <t>Podcast</t>
        </is>
      </c>
      <c r="B6" s="19" t="inlineStr">
        <is>
          <t>The Family History AI Show</t>
        </is>
      </c>
      <c r="C6" s="19" t="inlineStr">
        <is>
          <t>Mark Thompson &amp; Steve Little</t>
        </is>
      </c>
      <c r="D6" s="19" t="inlineStr">
        <is>
          <t>makingfamilyhistory.com/contact</t>
        </is>
      </c>
      <c r="E6" s="19" t="inlineStr">
        <is>
          <t>none</t>
        </is>
      </c>
      <c r="F6" s="19" t="inlineStr">
        <is>
          <t>2026-09-23</t>
        </is>
      </c>
      <c r="G6" s="19" t="inlineStr">
        <is>
          <t>Founder/design-rules pitch §5</t>
        </is>
      </c>
      <c r="H6" s="19" t="inlineStr"/>
      <c r="I6" s="19" t="inlineStr"/>
      <c r="J6" s="19" t="inlineStr"/>
      <c r="K6" s="19" t="inlineStr"/>
    </row>
    <row r="7">
      <c r="A7" s="19" t="inlineStr">
        <is>
          <t>Podcast (bench)</t>
        </is>
      </c>
      <c r="B7" s="19" t="inlineStr">
        <is>
          <t>French-Canadian Legacy Podcast</t>
        </is>
      </c>
      <c r="C7" s="19" t="inlineStr">
        <is>
          <t>Jesse Martineau &amp; Mike Campbell</t>
        </is>
      </c>
      <c r="D7" s="19" t="inlineStr">
        <is>
          <t>fclpodcast.com/contact</t>
        </is>
      </c>
      <c r="E7" s="19" t="inlineStr">
        <is>
          <t>none</t>
        </is>
      </c>
      <c r="F7" s="19" t="inlineStr"/>
      <c r="G7" s="19" t="inlineStr">
        <is>
          <t>Acadian register segment</t>
        </is>
      </c>
      <c r="H7" s="19" t="inlineStr"/>
      <c r="I7" s="19" t="inlineStr"/>
      <c r="J7" s="19" t="inlineStr"/>
      <c r="K7" s="19" t="inlineStr"/>
    </row>
    <row r="8">
      <c r="A8" s="19" t="inlineStr">
        <is>
          <t>Podcast (bench)</t>
        </is>
      </c>
      <c r="B8" s="19" t="inlineStr">
        <is>
          <t>DearMYRTLE</t>
        </is>
      </c>
      <c r="C8" s="19" t="inlineStr">
        <is>
          <t>Pat Richley-Erickson</t>
        </is>
      </c>
      <c r="D8" s="19" t="inlineStr">
        <is>
          <t>dearmyrtle.substack.com</t>
        </is>
      </c>
      <c r="E8" s="19" t="inlineStr">
        <is>
          <t>none</t>
        </is>
      </c>
      <c r="F8" s="19" t="inlineStr"/>
      <c r="G8" s="19" t="inlineStr">
        <is>
          <t>Live demo; small reach</t>
        </is>
      </c>
      <c r="H8" s="19" t="inlineStr"/>
      <c r="I8" s="19" t="inlineStr"/>
      <c r="J8" s="19" t="inlineStr"/>
      <c r="K8" s="19" t="inlineStr"/>
    </row>
    <row r="9">
      <c r="A9" s="19" t="inlineStr">
        <is>
          <t>Newsletter</t>
        </is>
      </c>
      <c r="B9" s="19" t="inlineStr">
        <is>
          <t>Amy Johnson Crow</t>
        </is>
      </c>
      <c r="C9" s="19" t="inlineStr">
        <is>
          <t>Amy Johnson Crow</t>
        </is>
      </c>
      <c r="D9" s="19" t="inlineStr">
        <is>
          <t>ajc@amyjohnsoncrow.com</t>
        </is>
      </c>
      <c r="E9" s="19" t="inlineStr">
        <is>
          <t>2026-07-03 email, no reply</t>
        </is>
      </c>
      <c r="F9" s="19" t="inlineStr"/>
      <c r="G9" s="19" t="inlineStr">
        <is>
          <t>Newsletter mention only (podcast ended 2022)</t>
        </is>
      </c>
      <c r="H9" s="19" t="inlineStr"/>
      <c r="I9" s="19" t="inlineStr"/>
      <c r="J9" s="19" t="inlineStr"/>
      <c r="K9" s="19" t="inlineStr"/>
    </row>
    <row r="10">
      <c r="A10" s="19" t="inlineStr">
        <is>
          <t>YouTube</t>
        </is>
      </c>
      <c r="B10" s="19" t="inlineStr">
        <is>
          <t>Family History Hound</t>
        </is>
      </c>
      <c r="C10" s="19" t="inlineStr">
        <is>
          <t>Ellen Thompson-Jennings</t>
        </is>
      </c>
      <c r="D10" s="19" t="inlineStr">
        <is>
          <t>info@familyhistoryhound.com</t>
        </is>
      </c>
      <c r="E10" s="19" t="inlineStr">
        <is>
          <t>none</t>
        </is>
      </c>
      <c r="F10" s="19" t="inlineStr">
        <is>
          <t>after 2-wk warm-up</t>
        </is>
      </c>
      <c r="G10" s="19" t="inlineStr">
        <is>
          <t>'Step by Step: Acadians vs the 1755 rolls'</t>
        </is>
      </c>
      <c r="H10" s="19" t="inlineStr"/>
      <c r="I10" s="19" t="inlineStr"/>
      <c r="J10" s="19" t="inlineStr"/>
      <c r="K10" s="19" t="inlineStr"/>
    </row>
    <row r="11">
      <c r="A11" s="19" t="inlineStr">
        <is>
          <t>YouTube</t>
        </is>
      </c>
      <c r="B11" s="19" t="inlineStr">
        <is>
          <t>Chronicle Makers</t>
        </is>
      </c>
      <c r="C11" s="19" t="inlineStr">
        <is>
          <t>Denyse Allen</t>
        </is>
      </c>
      <c r="D11" s="19" t="inlineStr">
        <is>
          <t>denyseallen.substack.com (message)</t>
        </is>
      </c>
      <c r="E11" s="19" t="inlineStr">
        <is>
          <t>none</t>
        </is>
      </c>
      <c r="F11" s="19" t="inlineStr">
        <is>
          <t>after 2-wk warm-up</t>
        </is>
      </c>
      <c r="G11" s="19" t="inlineStr">
        <is>
          <t>'Does one story a day pass the Chronicle Makers test'</t>
        </is>
      </c>
      <c r="H11" s="19" t="inlineStr"/>
      <c r="I11" s="19" t="inlineStr"/>
      <c r="J11" s="19" t="inlineStr"/>
      <c r="K11" s="19" t="inlineStr"/>
    </row>
    <row r="12">
      <c r="A12" s="19" t="inlineStr">
        <is>
          <t>YouTube</t>
        </is>
      </c>
      <c r="B12" s="19" t="inlineStr">
        <is>
          <t>DNA Family Trees</t>
        </is>
      </c>
      <c r="C12" s="19" t="inlineStr">
        <is>
          <t>Larry Jones</t>
        </is>
      </c>
      <c r="D12" s="19" t="inlineStr">
        <is>
          <t>YouTube About / mailing list</t>
        </is>
      </c>
      <c r="E12" s="19" t="inlineStr">
        <is>
          <t>none</t>
        </is>
      </c>
      <c r="F12" s="19" t="inlineStr">
        <is>
          <t>after 2-wk warm-up</t>
        </is>
      </c>
      <c r="G12" s="19" t="inlineStr">
        <is>
          <t>'22 checks before you trust ThruLines' (follows his Stemma videos)</t>
        </is>
      </c>
      <c r="H12" s="19" t="inlineStr"/>
      <c r="I12" s="19" t="inlineStr"/>
      <c r="J12" s="19" t="inlineStr"/>
      <c r="K12" s="19" t="inlineStr"/>
    </row>
    <row r="13">
      <c r="A13" s="19" t="inlineStr">
        <is>
          <t>YouTube</t>
        </is>
      </c>
      <c r="B13" s="19" t="inlineStr">
        <is>
          <t>Have Roots, Will Travel</t>
        </is>
      </c>
      <c r="C13" s="19" t="inlineStr">
        <is>
          <t>Lisa Elvin-Staltari</t>
        </is>
      </c>
      <c r="D13" s="19" t="inlineStr">
        <is>
          <t>haverootswilltravel.com</t>
        </is>
      </c>
      <c r="E13" s="19" t="inlineStr">
        <is>
          <t>none</t>
        </is>
      </c>
      <c r="F13" s="19" t="inlineStr">
        <is>
          <t>after 2-wk warm-up</t>
        </is>
      </c>
      <c r="G13" s="19" t="inlineStr">
        <is>
          <t>'FDR bonus: Filles du Roi tree vs passenger lists'</t>
        </is>
      </c>
      <c r="H13" s="19" t="inlineStr"/>
      <c r="I13" s="19" t="inlineStr"/>
      <c r="J13" s="19" t="inlineStr"/>
      <c r="K13" s="19" t="inlineStr"/>
    </row>
    <row r="14">
      <c r="A14" s="19" t="inlineStr">
        <is>
          <t>YouTube</t>
        </is>
      </c>
      <c r="B14" s="19" t="inlineStr">
        <is>
          <t>Tech for Senior</t>
        </is>
      </c>
      <c r="C14" s="19" t="inlineStr">
        <is>
          <t>Ron Brown &amp; Hewie Poplock</t>
        </is>
      </c>
      <c r="D14" s="19" t="inlineStr">
        <is>
          <t>hewie.net/contact-us</t>
        </is>
      </c>
      <c r="E14" s="19" t="inlineStr">
        <is>
          <t>none</t>
        </is>
      </c>
      <c r="F14" s="19" t="inlineStr">
        <is>
          <t>after 2-wk warm-up</t>
        </is>
      </c>
      <c r="G14" s="19" t="inlineStr">
        <is>
          <t>'Genealogy on the iPad, no desktop software'</t>
        </is>
      </c>
      <c r="H14" s="19" t="inlineStr"/>
      <c r="I14" s="19" t="inlineStr"/>
      <c r="J14" s="19" t="inlineStr"/>
      <c r="K14" s="19" t="inlineStr"/>
    </row>
    <row r="15">
      <c r="A15" s="19" t="inlineStr">
        <is>
          <t>YouTube (alt)</t>
        </is>
      </c>
      <c r="B15" s="19" t="inlineStr">
        <is>
          <t>Projectkin</t>
        </is>
      </c>
      <c r="C15" s="19" t="inlineStr">
        <is>
          <t>Barbara Tien</t>
        </is>
      </c>
      <c r="D15" s="19" t="inlineStr">
        <is>
          <t>projectkin.substack.com (message ringleader)</t>
        </is>
      </c>
      <c r="E15" s="19" t="inlineStr">
        <is>
          <t>none</t>
        </is>
      </c>
      <c r="F15" s="19" t="inlineStr"/>
      <c r="G15" s="19" t="inlineStr">
        <is>
          <t>'At the stone' Project Recipe</t>
        </is>
      </c>
      <c r="H15" s="19" t="inlineStr"/>
      <c r="I15" s="19" t="inlineStr"/>
      <c r="J15" s="19" t="inlineStr"/>
      <c r="K15" s="19" t="inlineStr"/>
    </row>
    <row r="16">
      <c r="A16" s="19" t="inlineStr">
        <is>
          <t>Blog</t>
        </is>
      </c>
      <c r="B16" s="19" t="inlineStr">
        <is>
          <t>Genea-Musings</t>
        </is>
      </c>
      <c r="C16" s="19" t="inlineStr">
        <is>
          <t>Randy Seaver</t>
        </is>
      </c>
      <c r="D16" s="19" t="inlineStr">
        <is>
          <t>(blog contact)</t>
        </is>
      </c>
      <c r="E16" s="19" t="inlineStr">
        <is>
          <t>none</t>
        </is>
      </c>
      <c r="F16" s="19" t="inlineStr"/>
      <c r="G16" s="19" t="inlineStr">
        <is>
          <t>Daily blogger; strong blog target</t>
        </is>
      </c>
      <c r="H16" s="19" t="inlineStr"/>
      <c r="I16" s="19" t="inlineStr"/>
      <c r="J16" s="19" t="inlineStr"/>
      <c r="K16" s="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8" customWidth="1" style="17" min="1" max="1"/>
    <col width="50" customWidth="1" style="17" min="2" max="2"/>
    <col width="18" customWidth="1" style="17" min="3" max="3"/>
    <col width="34" customWidth="1" style="17" min="4" max="4"/>
    <col width="18" customWidth="1" style="17" min="5" max="5"/>
    <col width="18" customWidth="1" style="17" min="6" max="6"/>
    <col width="34" customWidth="1" style="17" min="7" max="7"/>
    <col width="18" customWidth="1" style="17" min="8" max="8"/>
    <col width="18" customWidth="1" style="17" min="9" max="9"/>
  </cols>
  <sheetData>
    <row r="1">
      <c r="A1" s="18" t="inlineStr">
        <is>
          <t>Platform</t>
        </is>
      </c>
      <c r="B1" s="18" t="inlineStr">
        <is>
          <t>Group / post</t>
        </is>
      </c>
      <c r="C1" s="18" t="inlineStr">
        <is>
          <t>Size</t>
        </is>
      </c>
      <c r="D1" s="18" t="inlineStr">
        <is>
          <t>Posture</t>
        </is>
      </c>
      <c r="E1" s="18" t="inlineStr">
        <is>
          <t>Joined / requested</t>
        </is>
      </c>
      <c r="F1" s="18" t="inlineStr">
        <is>
          <t>Approved / posted (date)</t>
        </is>
      </c>
      <c r="G1" s="18" t="inlineStr">
        <is>
          <t>Notes</t>
        </is>
      </c>
      <c r="H1" s="18" t="inlineStr">
        <is>
          <t>Replies / comments</t>
        </is>
      </c>
      <c r="I1" s="18" t="inlineStr">
        <is>
          <t>Sign-ups attributed</t>
        </is>
      </c>
    </row>
    <row r="2">
      <c r="A2" s="19" t="inlineStr">
        <is>
          <t>Facebook</t>
        </is>
      </c>
      <c r="B2" s="19" t="inlineStr">
        <is>
          <t>Genealogy and Artificial Intelligence (AI)</t>
        </is>
      </c>
      <c r="C2" s="19" t="inlineStr">
        <is>
          <t>27.2K</t>
        </is>
      </c>
      <c r="D2" s="19" t="inlineStr">
        <is>
          <t>JOIN NOW — post as builder, disclosed</t>
        </is>
      </c>
      <c r="E2" s="19" t="inlineStr">
        <is>
          <t>2026-09-09 requested</t>
        </is>
      </c>
      <c r="F2" s="19" t="inlineStr"/>
      <c r="G2" s="19" t="inlineStr">
        <is>
          <t>Only group where apps are on-topic</t>
        </is>
      </c>
      <c r="H2" s="19" t="inlineStr"/>
      <c r="I2" s="19" t="inlineStr"/>
    </row>
    <row r="3">
      <c r="A3" s="19" t="inlineStr">
        <is>
          <t>Facebook</t>
        </is>
      </c>
      <c r="B3" s="19" t="inlineStr">
        <is>
          <t>Mayflower Descendants!!!!</t>
        </is>
      </c>
      <c r="C3" s="19" t="inlineStr">
        <is>
          <t>91.8K</t>
        </is>
      </c>
      <c r="D3" s="19" t="inlineStr">
        <is>
          <t>JOIN NOW</t>
        </is>
      </c>
      <c r="E3" s="19" t="inlineStr">
        <is>
          <t>2026-09-09 requested</t>
        </is>
      </c>
      <c r="F3" s="19" t="inlineStr"/>
      <c r="G3" s="19" t="inlineStr">
        <is>
          <t>Passenger-list story</t>
        </is>
      </c>
      <c r="H3" s="19" t="inlineStr"/>
      <c r="I3" s="19" t="inlineStr"/>
    </row>
    <row r="4">
      <c r="A4" s="19" t="inlineStr">
        <is>
          <t>Facebook</t>
        </is>
      </c>
      <c r="B4" s="19" t="inlineStr">
        <is>
          <t>Acadian Genealogy</t>
        </is>
      </c>
      <c r="C4" s="19" t="inlineStr">
        <is>
          <t>10.7K</t>
        </is>
      </c>
      <c r="D4" s="19" t="inlineStr">
        <is>
          <t>JOIN NOW</t>
        </is>
      </c>
      <c r="E4" s="19" t="inlineStr">
        <is>
          <t>2026-09-09 requested</t>
        </is>
      </c>
      <c r="F4" s="19" t="inlineStr"/>
      <c r="G4" s="19" t="inlineStr">
        <is>
          <t>Doiron/Pisiquid story</t>
        </is>
      </c>
      <c r="H4" s="19" t="inlineStr"/>
      <c r="I4" s="19" t="inlineStr"/>
    </row>
    <row r="5">
      <c r="A5" s="19" t="inlineStr">
        <is>
          <t>Facebook</t>
        </is>
      </c>
      <c r="B5" s="19" t="inlineStr">
        <is>
          <t>New England Family Genealogy and History</t>
        </is>
      </c>
      <c r="C5" s="19" t="inlineStr">
        <is>
          <t>18K</t>
        </is>
      </c>
      <c r="D5" s="19" t="inlineStr">
        <is>
          <t>JOIN NOW</t>
        </is>
      </c>
      <c r="E5" s="19" t="inlineStr">
        <is>
          <t>2026-09-09 requested</t>
        </is>
      </c>
      <c r="F5" s="19" t="inlineStr"/>
      <c r="G5" s="19" t="inlineStr">
        <is>
          <t>Colonial / Towne story</t>
        </is>
      </c>
      <c r="H5" s="19" t="inlineStr"/>
      <c r="I5" s="19" t="inlineStr"/>
    </row>
    <row r="6">
      <c r="A6" s="19" t="inlineStr">
        <is>
          <t>Facebook</t>
        </is>
      </c>
      <c r="B6" s="19" t="inlineStr">
        <is>
          <t>The Civil War Genealogy and Research Forum</t>
        </is>
      </c>
      <c r="C6" s="19" t="inlineStr">
        <is>
          <t>11.4K</t>
        </is>
      </c>
      <c r="D6" s="19" t="inlineStr">
        <is>
          <t>JOIN NOW (1 post/mo)</t>
        </is>
      </c>
      <c r="E6" s="19" t="inlineStr">
        <is>
          <t>2026-09-09 requested</t>
        </is>
      </c>
      <c r="F6" s="19" t="inlineStr"/>
      <c r="G6" s="19" t="inlineStr">
        <is>
          <t>Regiment-from-headstone story</t>
        </is>
      </c>
      <c r="H6" s="19" t="inlineStr"/>
      <c r="I6" s="19" t="inlineStr"/>
    </row>
    <row r="7">
      <c r="A7" s="19" t="inlineStr">
        <is>
          <t>Facebook</t>
        </is>
      </c>
      <c r="B7" s="19" t="inlineStr">
        <is>
          <t>The Genealogy Squad</t>
        </is>
      </c>
      <c r="C7" s="19" t="inlineStr">
        <is>
          <t>74K</t>
        </is>
      </c>
      <c r="D7" s="19" t="inlineStr">
        <is>
          <t>READ ONLY — never name the app</t>
        </is>
      </c>
      <c r="E7" s="19" t="inlineStr">
        <is>
          <t>2026-09-09 requested</t>
        </is>
      </c>
      <c r="F7" s="19" t="inlineStr"/>
      <c r="G7" s="19" t="inlineStr"/>
      <c r="H7" s="19" t="inlineStr"/>
      <c r="I7" s="19" t="inlineStr"/>
    </row>
    <row r="8">
      <c r="A8" s="19" t="inlineStr">
        <is>
          <t>Facebook</t>
        </is>
      </c>
      <c r="B8" s="19" t="inlineStr">
        <is>
          <t>Family Tree Maker® Users</t>
        </is>
      </c>
      <c r="C8" s="19" t="inlineStr">
        <is>
          <t>28.4K</t>
        </is>
      </c>
      <c r="D8" s="19" t="inlineStr">
        <is>
          <t>READ ONLY — no competitor mentions</t>
        </is>
      </c>
      <c r="E8" s="19" t="inlineStr">
        <is>
          <t>2026-09-09 requested</t>
        </is>
      </c>
      <c r="F8" s="19" t="inlineStr"/>
      <c r="G8" s="19" t="inlineStr">
        <is>
          <t>Listening post for export/media questions</t>
        </is>
      </c>
      <c r="H8" s="19" t="inlineStr"/>
      <c r="I8" s="19" t="inlineStr"/>
    </row>
    <row r="9">
      <c r="A9" s="19" t="inlineStr">
        <is>
          <t>Facebook</t>
        </is>
      </c>
      <c r="B9" s="19" t="inlineStr">
        <is>
          <t>RootsMagic Users</t>
        </is>
      </c>
      <c r="C9" s="19" t="inlineStr">
        <is>
          <t>25.7K</t>
        </is>
      </c>
      <c r="D9" s="19" t="inlineStr">
        <is>
          <t>READ ONLY</t>
        </is>
      </c>
      <c r="E9" s="19" t="inlineStr">
        <is>
          <t>2026-09-09 requested</t>
        </is>
      </c>
      <c r="F9" s="19" t="inlineStr"/>
      <c r="G9" s="19" t="inlineStr">
        <is>
          <t>GEDCOM pain points</t>
        </is>
      </c>
      <c r="H9" s="19" t="inlineStr"/>
      <c r="I9" s="19" t="inlineStr"/>
    </row>
    <row r="10">
      <c r="A10" s="19" t="inlineStr">
        <is>
          <t>Reddit</t>
        </is>
      </c>
      <c r="B10" s="19" t="inlineStr">
        <is>
          <t>r/Genealogy — Post 1 headstones (Jemima/Jemenice, Asa's date, Melvina)</t>
        </is>
      </c>
      <c r="C10" s="19" t="inlineStr">
        <is>
          <t>207K</t>
        </is>
      </c>
      <c r="D10" s="19" t="inlineStr">
        <is>
          <t>Post under own name, no link</t>
        </is>
      </c>
      <c r="E10" s="19" t="inlineStr"/>
      <c r="F10" s="19" t="inlineStr">
        <is>
          <t>2026-09-14 (plan)</t>
        </is>
      </c>
      <c r="G10" s="19" t="inlineStr">
        <is>
          <t>Confirm naming Melvina</t>
        </is>
      </c>
      <c r="H10" s="19" t="inlineStr"/>
      <c r="I10" s="19" t="inlineStr"/>
    </row>
    <row r="11">
      <c r="A11" s="19" t="inlineStr">
        <is>
          <t>Reddit</t>
        </is>
      </c>
      <c r="B11" s="19" t="inlineStr">
        <is>
          <t>r/Genealogy — Post 2 draft ≠ service (Huntington, Edwin Parker)</t>
        </is>
      </c>
      <c r="C11" s="19" t="inlineStr">
        <is>
          <t>207K</t>
        </is>
      </c>
      <c r="D11" s="19" t="inlineStr">
        <is>
          <t>Post under own name, no link</t>
        </is>
      </c>
      <c r="E11" s="19" t="inlineStr"/>
      <c r="F11" s="19" t="inlineStr">
        <is>
          <t>2026-09-17 (plan)</t>
        </is>
      </c>
      <c r="G11" s="19" t="inlineStr">
        <is>
          <t>Confirm naming F.M. Huntington</t>
        </is>
      </c>
      <c r="H11" s="19" t="inlineStr"/>
      <c r="I11" s="19" t="inlineStr"/>
    </row>
    <row r="12">
      <c r="A12" s="19" t="inlineStr">
        <is>
          <t>Reddit</t>
        </is>
      </c>
      <c r="B12" s="19" t="inlineStr">
        <is>
          <t>r/Genealogy + r/Acadian — Post 3 wrong roll (Doiron, Duke William)</t>
        </is>
      </c>
      <c r="C12" s="19" t="inlineStr">
        <is>
          <t>207K</t>
        </is>
      </c>
      <c r="D12" s="19" t="inlineStr">
        <is>
          <t>Post under own name, no link</t>
        </is>
      </c>
      <c r="E12" s="19" t="inlineStr"/>
      <c r="F12" s="19" t="inlineStr">
        <is>
          <t>2026-09-21 (plan)</t>
        </is>
      </c>
      <c r="G12" s="19" t="inlineStr">
        <is>
          <t>Confirm Acadian line is Ruth's side</t>
        </is>
      </c>
      <c r="H12" s="19" t="inlineStr"/>
      <c r="I12" s="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8" customWidth="1" style="17" min="1" max="1"/>
    <col width="18" customWidth="1" style="17" min="2" max="2"/>
    <col width="18" customWidth="1" style="17" min="3" max="3"/>
    <col width="18" customWidth="1" style="17" min="4" max="4"/>
    <col width="18" customWidth="1" style="17" min="5" max="5"/>
    <col width="18" customWidth="1" style="17" min="6" max="6"/>
    <col width="50" customWidth="1" style="17" min="7" max="7"/>
  </cols>
  <sheetData>
    <row r="1">
      <c r="A1" s="18" t="inlineStr">
        <is>
          <t>Week of</t>
        </is>
      </c>
      <c r="B1" s="18" t="inlineStr">
        <is>
          <t>Emails sent</t>
        </is>
      </c>
      <c r="C1" s="18" t="inlineStr">
        <is>
          <t>Replies</t>
        </is>
      </c>
      <c r="D1" s="18" t="inlineStr">
        <is>
          <t>Comps granted</t>
        </is>
      </c>
      <c r="E1" s="18" t="inlineStr">
        <is>
          <t>Trial starts (RevenueCat)</t>
        </is>
      </c>
      <c r="F1" s="18" t="inlineStr">
        <is>
          <t>Paid conversions</t>
        </is>
      </c>
      <c r="G1" s="18" t="inlineStr">
        <is>
          <t>What worked / decisions</t>
        </is>
      </c>
    </row>
    <row r="2">
      <c r="A2" s="19" t="inlineStr">
        <is>
          <t>2026-09-14</t>
        </is>
      </c>
      <c r="B2" s="19" t="inlineStr"/>
      <c r="C2" s="19" t="inlineStr"/>
      <c r="D2" s="19" t="inlineStr"/>
      <c r="E2" s="19" t="inlineStr"/>
      <c r="F2" s="19" t="inlineStr"/>
      <c r="G2" s="19" t="inlineStr"/>
    </row>
    <row r="3">
      <c r="A3" s="19" t="inlineStr">
        <is>
          <t>2026-09-21</t>
        </is>
      </c>
      <c r="B3" s="19" t="inlineStr"/>
      <c r="C3" s="19" t="inlineStr"/>
      <c r="D3" s="19" t="inlineStr"/>
      <c r="E3" s="19" t="inlineStr"/>
      <c r="F3" s="19" t="inlineStr"/>
      <c r="G3" s="19" t="inlineStr"/>
    </row>
    <row r="4">
      <c r="A4" s="19" t="inlineStr">
        <is>
          <t>2026-09-28</t>
        </is>
      </c>
      <c r="B4" s="19" t="inlineStr"/>
      <c r="C4" s="19" t="inlineStr"/>
      <c r="D4" s="19" t="inlineStr"/>
      <c r="E4" s="19" t="inlineStr"/>
      <c r="F4" s="19" t="inlineStr"/>
      <c r="G4" s="19" t="inlineStr"/>
    </row>
    <row r="5">
      <c r="A5" s="19" t="inlineStr">
        <is>
          <t>2026-10-05</t>
        </is>
      </c>
      <c r="B5" s="19" t="inlineStr"/>
      <c r="C5" s="19" t="inlineStr"/>
      <c r="D5" s="19" t="inlineStr"/>
      <c r="E5" s="19" t="inlineStr"/>
      <c r="F5" s="19" t="inlineStr"/>
      <c r="G5" s="19" t="inlineStr"/>
    </row>
    <row r="6">
      <c r="A6" s="19" t="inlineStr">
        <is>
          <t>2026-10-12</t>
        </is>
      </c>
      <c r="B6" s="19" t="inlineStr"/>
      <c r="C6" s="19" t="inlineStr"/>
      <c r="D6" s="19" t="inlineStr"/>
      <c r="E6" s="19" t="inlineStr"/>
      <c r="F6" s="19" t="inlineStr"/>
      <c r="G6" s="19" t="inlineStr"/>
    </row>
    <row r="7">
      <c r="A7" s="19" t="inlineStr">
        <is>
          <t>2026-10-19</t>
        </is>
      </c>
      <c r="B7" s="19" t="inlineStr"/>
      <c r="C7" s="19" t="inlineStr"/>
      <c r="D7" s="19" t="inlineStr"/>
      <c r="E7" s="19" t="inlineStr"/>
      <c r="F7" s="19" t="inlineStr"/>
      <c r="G7" s="19" t="inlineStr"/>
    </row>
    <row r="9">
      <c r="A9" s="20" t="inlineStr">
        <is>
          <t>Fill Fridays from Gmail (sent/replies), the Operator Ledger (witnesslives.com/operator), and RevenueCat.</t>
        </is>
      </c>
    </row>
  </sheetData>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20" min="1" max="1"/>
    <col width="26" customWidth="1" style="20" min="2" max="2"/>
    <col width="46" customWidth="1" style="20" min="3" max="3"/>
    <col width="26" customWidth="1" style="20" min="4" max="4"/>
  </cols>
  <sheetData>
    <row r="1" ht="17.35" customHeight="1" s="17">
      <c r="A1" s="21" t="inlineStr">
        <is>
          <t>Witness Marketing — UTM Naming Convention</t>
        </is>
      </c>
    </row>
    <row r="2" ht="15" customHeight="1" s="17">
      <c r="A2" s="22" t="inlineStr">
        <is>
          <t>Blue cells = edit/fill in. Black = fixed convention. Copy a row's formula in B when building a new link.</t>
        </is>
      </c>
    </row>
    <row r="4" ht="15" customHeight="1" s="17">
      <c r="A4" s="23" t="inlineStr">
        <is>
          <t>Parameter</t>
        </is>
      </c>
      <c r="B4" s="23" t="inlineStr">
        <is>
          <t>Purpose</t>
        </is>
      </c>
      <c r="C4" s="23" t="inlineStr">
        <is>
          <t>Allowed values (Phase 1)</t>
        </is>
      </c>
      <c r="D4" s="23" t="inlineStr">
        <is>
          <t>Example</t>
        </is>
      </c>
    </row>
    <row r="5" ht="39.55" customHeight="1" s="17">
      <c r="A5" s="24" t="inlineStr">
        <is>
          <t>utm_source</t>
        </is>
      </c>
      <c r="B5" s="25" t="inlineStr">
        <is>
          <t>Where the click came from</t>
        </is>
      </c>
      <c r="C5" s="25" t="inlineStr">
        <is>
          <t>reddit | facebook | tiktok | producthunt | podcast-&lt;slug&gt; | society-tier1 | society-tier2 | society-tier3 | email | mackiev</t>
        </is>
      </c>
      <c r="D5" s="25" t="inlineStr">
        <is>
          <t>society-tier2</t>
        </is>
      </c>
    </row>
    <row r="6" ht="26.85" customHeight="1" s="17">
      <c r="A6" s="24" t="inlineStr">
        <is>
          <t>utm_medium</t>
        </is>
      </c>
      <c r="B6" s="25" t="inlineStr">
        <is>
          <t>Type of channel</t>
        </is>
      </c>
      <c r="C6" s="25" t="inlineStr">
        <is>
          <t>social | community | video | referral | email | outreach | pr</t>
        </is>
      </c>
      <c r="D6" s="25" t="inlineStr">
        <is>
          <t>outreach</t>
        </is>
      </c>
    </row>
    <row r="7" ht="26.85" customHeight="1" s="17">
      <c r="A7" s="24" t="inlineStr">
        <is>
          <t>utm_campaign</t>
        </is>
      </c>
      <c r="B7" s="25" t="inlineStr">
        <is>
          <t>Which phase/push this belongs to</t>
        </is>
      </c>
      <c r="C7" s="25" t="inlineStr">
        <is>
          <t>witness-phase1</t>
        </is>
      </c>
      <c r="D7" s="25" t="inlineStr">
        <is>
          <t>witness-phase1</t>
        </is>
      </c>
    </row>
    <row r="8" ht="26.85" customHeight="1" s="17">
      <c r="A8" s="24" t="inlineStr">
        <is>
          <t>utm_content</t>
        </is>
      </c>
      <c r="B8" s="25" t="inlineStr">
        <is>
          <t>Specific post/email/video, for A/B comparison</t>
        </is>
      </c>
      <c r="C8" s="25" t="inlineStr">
        <is>
          <t>free text slug, e.g. week2-post1, clip-storyreveal-1, olde-meck-followup</t>
        </is>
      </c>
      <c r="D8" s="25" t="inlineStr">
        <is>
          <t>olde-meck-followup</t>
        </is>
      </c>
    </row>
    <row r="10" ht="15" customHeight="1" s="17">
      <c r="A10" s="26" t="inlineStr">
        <is>
          <t>Two tracking tracks — read this first</t>
        </is>
      </c>
    </row>
    <row r="11" ht="30" customHeight="1" s="17">
      <c r="A11" s="27" t="inlineStr">
        <is>
          <t>WEB APP (app.witnesslives.com): standard UTM tracking works end-to-end — click, sign-up, and Stripe/RevenueCat Web Billing conversion all happen in-browser. Use full UTM URLs for every web-funnel link.</t>
        </is>
      </c>
    </row>
    <row r="12" ht="30" customHeight="1" s="17">
      <c r="A12" s="27" t="inlineStr">
        <is>
          <t>iOS APP STORE: UTM parameters do NOT survive the jump into the App Store app, so a plain UTM link only tells you the click happened, not the resulting trial/conversion. Use Apple's App Store Connect Custom Product Pages instead — each gets its own trackable URL, and App Analytics reports downloads per link, natively and for free.</t>
        </is>
      </c>
    </row>
    <row r="13" ht="30" customHeight="1" s="17">
      <c r="A13" s="27" t="inlineStr">
        <is>
          <t>Practical rule: for any post/pitch driving to the App Store, create (or reuse) a Custom Product Page per channel (e.g. one for Reddit, one for podcasts) and use that page's unique URL as the link. Log the page name in the 'App Store Funnel Tracker' tab.</t>
        </is>
      </c>
    </row>
    <row r="14" ht="30" customHeight="1" s="17">
      <c r="A14" s="27" t="inlineStr">
        <is>
          <t>Example web link format: https://app.witnesslives.com/?utm_source=reddit&amp;utm_medium=social&amp;utm_campaign=witness-phase1&amp;utm_content=week2-post1</t>
        </is>
      </c>
    </row>
  </sheetData>
  <mergeCells count="4">
    <mergeCell ref="A12:D12"/>
    <mergeCell ref="A13:D13"/>
    <mergeCell ref="A14:D14"/>
    <mergeCell ref="A11:D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K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0" min="1" max="1"/>
    <col width="14" customWidth="1" style="20" min="2" max="2"/>
    <col width="10" customWidth="1" style="20" min="3" max="3"/>
    <col width="16" customWidth="1" style="20" min="4" max="4"/>
    <col width="20" customWidth="1" style="20" min="5" max="5"/>
    <col width="46" customWidth="1" style="20" min="6" max="6"/>
    <col width="9" customWidth="1" style="20" min="7" max="7"/>
    <col width="11" customWidth="1" style="20" min="8" max="8"/>
    <col width="14" customWidth="1" style="20" min="9" max="9"/>
    <col width="13" customWidth="1" style="20" min="10" max="11"/>
  </cols>
  <sheetData>
    <row r="1" ht="17.35" customHeight="1" s="17">
      <c r="A1" s="21" t="inlineStr">
        <is>
          <t>Web App Funnel (app.witnesslives.com) — fill blue cells weekly</t>
        </is>
      </c>
    </row>
    <row r="2">
      <c r="A2" s="20" t="inlineStr">
        <is>
          <t>Sample numbers removed 2026-09-09 — every row below is real or empty. Web UTM capture is NOT yet built in the app; fill Visits only once it is.</t>
        </is>
      </c>
    </row>
    <row r="3" ht="26.85" customHeight="1" s="17">
      <c r="A3" s="23" t="inlineStr">
        <is>
          <t>Week Of</t>
        </is>
      </c>
      <c r="B3" s="23" t="inlineStr">
        <is>
          <t>Source</t>
        </is>
      </c>
      <c r="C3" s="23" t="inlineStr">
        <is>
          <t>Medium</t>
        </is>
      </c>
      <c r="D3" s="23" t="inlineStr">
        <is>
          <t>Campaign</t>
        </is>
      </c>
      <c r="E3" s="23" t="inlineStr">
        <is>
          <t>Content</t>
        </is>
      </c>
      <c r="F3" s="23" t="inlineStr">
        <is>
          <t>Full UTM Link</t>
        </is>
      </c>
      <c r="G3" s="23" t="inlineStr">
        <is>
          <t>Visits</t>
        </is>
      </c>
      <c r="H3" s="23" t="inlineStr">
        <is>
          <t>Trial Starts</t>
        </is>
      </c>
      <c r="I3" s="23" t="inlineStr">
        <is>
          <t>Paid Conversions</t>
        </is>
      </c>
      <c r="J3" s="23" t="inlineStr">
        <is>
          <t>Visit→Trial %</t>
        </is>
      </c>
      <c r="K3" s="23" t="inlineStr">
        <is>
          <t>Trial→Paid %</t>
        </is>
      </c>
    </row>
    <row r="4" ht="52.2" customHeight="1" s="17">
      <c r="A4" s="24" t="n"/>
      <c r="B4" s="24" t="n"/>
      <c r="C4" s="24" t="n"/>
      <c r="D4" s="24" t="n"/>
      <c r="E4" s="24" t="n"/>
      <c r="F4" s="24" t="n"/>
      <c r="G4" s="24" t="n"/>
      <c r="H4" s="24" t="n"/>
      <c r="I4" s="24" t="n"/>
      <c r="J4" s="28">
        <f>IFERROR(H4/G4,0)</f>
        <v/>
      </c>
      <c r="K4" s="28">
        <f>IFERROR(I4/H4,0)</f>
        <v/>
      </c>
    </row>
    <row r="5" ht="15" customHeight="1" s="17">
      <c r="A5" s="29" t="n"/>
      <c r="B5" s="29" t="n"/>
      <c r="C5" s="29" t="n"/>
      <c r="D5" s="29" t="n"/>
      <c r="E5" s="29" t="n"/>
      <c r="F5" s="29" t="n"/>
      <c r="G5" s="29" t="n"/>
      <c r="H5" s="29" t="n"/>
      <c r="I5" s="29" t="n"/>
      <c r="J5" s="28">
        <f>IFERROR(H5/G5,0)</f>
        <v/>
      </c>
      <c r="K5" s="28">
        <f>IFERROR(I5/H5,0)</f>
        <v/>
      </c>
    </row>
    <row r="6" ht="15" customHeight="1" s="17">
      <c r="A6" s="29" t="n"/>
      <c r="B6" s="29" t="n"/>
      <c r="C6" s="29" t="n"/>
      <c r="D6" s="29" t="n"/>
      <c r="E6" s="29" t="n"/>
      <c r="F6" s="29" t="n"/>
      <c r="G6" s="29" t="n"/>
      <c r="H6" s="29" t="n"/>
      <c r="I6" s="29" t="n"/>
      <c r="J6" s="28">
        <f>IFERROR(H6/G6,0)</f>
        <v/>
      </c>
      <c r="K6" s="28">
        <f>IFERROR(I6/H6,0)</f>
        <v/>
      </c>
    </row>
    <row r="7" ht="15" customHeight="1" s="17">
      <c r="A7" s="29" t="n"/>
      <c r="B7" s="29" t="n"/>
      <c r="C7" s="29" t="n"/>
      <c r="D7" s="29" t="n"/>
      <c r="E7" s="29" t="n"/>
      <c r="F7" s="29" t="n"/>
      <c r="G7" s="29" t="n"/>
      <c r="H7" s="29" t="n"/>
      <c r="I7" s="29" t="n"/>
      <c r="J7" s="28">
        <f>IFERROR(H7/G7,0)</f>
        <v/>
      </c>
      <c r="K7" s="28">
        <f>IFERROR(I7/H7,0)</f>
        <v/>
      </c>
    </row>
    <row r="8" ht="15" customHeight="1" s="17">
      <c r="A8" s="29" t="n"/>
      <c r="B8" s="29" t="n"/>
      <c r="C8" s="29" t="n"/>
      <c r="D8" s="29" t="n"/>
      <c r="E8" s="29" t="n"/>
      <c r="F8" s="29" t="n"/>
      <c r="G8" s="29" t="n"/>
      <c r="H8" s="29" t="n"/>
      <c r="I8" s="29" t="n"/>
      <c r="J8" s="28">
        <f>IFERROR(H8/G8,0)</f>
        <v/>
      </c>
      <c r="K8" s="28">
        <f>IFERROR(I8/H8,0)</f>
        <v/>
      </c>
    </row>
    <row r="9" ht="15" customHeight="1" s="17">
      <c r="A9" s="29" t="n"/>
      <c r="B9" s="29" t="n"/>
      <c r="C9" s="29" t="n"/>
      <c r="D9" s="29" t="n"/>
      <c r="E9" s="29" t="n"/>
      <c r="F9" s="29" t="n"/>
      <c r="G9" s="29" t="n"/>
      <c r="H9" s="29" t="n"/>
      <c r="I9" s="29" t="n"/>
      <c r="J9" s="28">
        <f>IFERROR(H9/G9,0)</f>
        <v/>
      </c>
      <c r="K9" s="28">
        <f>IFERROR(I9/H9,0)</f>
        <v/>
      </c>
    </row>
    <row r="10" ht="15" customHeight="1" s="17">
      <c r="A10" s="29" t="n"/>
      <c r="B10" s="29" t="n"/>
      <c r="C10" s="29" t="n"/>
      <c r="D10" s="29" t="n"/>
      <c r="E10" s="29" t="n"/>
      <c r="F10" s="29" t="n"/>
      <c r="G10" s="29" t="n"/>
      <c r="H10" s="29" t="n"/>
      <c r="I10" s="29" t="n"/>
      <c r="J10" s="28">
        <f>IFERROR(H10/G10,0)</f>
        <v/>
      </c>
      <c r="K10" s="28">
        <f>IFERROR(I10/H10,0)</f>
        <v/>
      </c>
    </row>
    <row r="11" ht="15" customHeight="1" s="17">
      <c r="A11" s="29" t="n"/>
      <c r="B11" s="29" t="n"/>
      <c r="C11" s="29" t="n"/>
      <c r="D11" s="29" t="n"/>
      <c r="E11" s="29" t="n"/>
      <c r="F11" s="29" t="n"/>
      <c r="G11" s="29" t="n"/>
      <c r="H11" s="29" t="n"/>
      <c r="I11" s="29" t="n"/>
      <c r="J11" s="28">
        <f>IFERROR(H11/G11,0)</f>
        <v/>
      </c>
      <c r="K11" s="28">
        <f>IFERROR(I11/H11,0)</f>
        <v/>
      </c>
    </row>
    <row r="12" ht="15" customHeight="1" s="17">
      <c r="A12" s="29" t="n"/>
      <c r="B12" s="29" t="n"/>
      <c r="C12" s="29" t="n"/>
      <c r="D12" s="29" t="n"/>
      <c r="E12" s="29" t="n"/>
      <c r="F12" s="29" t="n"/>
      <c r="G12" s="29" t="n"/>
      <c r="H12" s="29" t="n"/>
      <c r="I12" s="29" t="n"/>
      <c r="J12" s="28">
        <f>IFERROR(H12/G12,0)</f>
        <v/>
      </c>
      <c r="K12" s="28">
        <f>IFERROR(I12/H12,0)</f>
        <v/>
      </c>
    </row>
    <row r="13" ht="15" customHeight="1" s="17">
      <c r="A13" s="29" t="n"/>
      <c r="B13" s="29" t="n"/>
      <c r="C13" s="29" t="n"/>
      <c r="D13" s="29" t="n"/>
      <c r="E13" s="29" t="n"/>
      <c r="F13" s="29" t="n"/>
      <c r="G13" s="29" t="n"/>
      <c r="H13" s="29" t="n"/>
      <c r="I13" s="29" t="n"/>
      <c r="J13" s="28">
        <f>IFERROR(H13/G13,0)</f>
        <v/>
      </c>
      <c r="K13" s="28">
        <f>IFERROR(I13/H13,0)</f>
        <v/>
      </c>
    </row>
    <row r="14" ht="15" customHeight="1" s="17">
      <c r="A14" s="29" t="n"/>
      <c r="B14" s="29" t="n"/>
      <c r="C14" s="29" t="n"/>
      <c r="D14" s="29" t="n"/>
      <c r="E14" s="29" t="n"/>
      <c r="F14" s="29" t="n"/>
      <c r="G14" s="29" t="n"/>
      <c r="H14" s="29" t="n"/>
      <c r="I14" s="29" t="n"/>
      <c r="J14" s="28">
        <f>IFERROR(H14/G14,0)</f>
        <v/>
      </c>
      <c r="K14" s="28">
        <f>IFERROR(I14/H14,0)</f>
        <v/>
      </c>
    </row>
    <row r="15" ht="15" customHeight="1" s="17">
      <c r="A15" s="29" t="n"/>
      <c r="B15" s="29" t="n"/>
      <c r="C15" s="29" t="n"/>
      <c r="D15" s="29" t="n"/>
      <c r="E15" s="29" t="n"/>
      <c r="F15" s="29" t="n"/>
      <c r="G15" s="29" t="n"/>
      <c r="H15" s="29" t="n"/>
      <c r="I15" s="29" t="n"/>
      <c r="J15" s="28">
        <f>IFERROR(H15/G15,0)</f>
        <v/>
      </c>
      <c r="K15" s="28">
        <f>IFERROR(I15/H15,0)</f>
        <v/>
      </c>
    </row>
    <row r="16" ht="15" customHeight="1" s="17">
      <c r="A16" s="29" t="n"/>
      <c r="B16" s="29" t="n"/>
      <c r="C16" s="29" t="n"/>
      <c r="D16" s="29" t="n"/>
      <c r="E16" s="29" t="n"/>
      <c r="F16" s="29" t="n"/>
      <c r="G16" s="29" t="n"/>
      <c r="H16" s="29" t="n"/>
      <c r="I16" s="29" t="n"/>
      <c r="J16" s="28">
        <f>IFERROR(H16/G16,0)</f>
        <v/>
      </c>
      <c r="K16" s="28">
        <f>IFERROR(I16/H16,0)</f>
        <v/>
      </c>
    </row>
    <row r="17" ht="15" customHeight="1" s="17">
      <c r="A17" s="29" t="n"/>
      <c r="B17" s="29" t="n"/>
      <c r="C17" s="29" t="n"/>
      <c r="D17" s="29" t="n"/>
      <c r="E17" s="29" t="n"/>
      <c r="F17" s="29" t="n"/>
      <c r="G17" s="29" t="n"/>
      <c r="H17" s="29" t="n"/>
      <c r="I17" s="29" t="n"/>
      <c r="J17" s="28">
        <f>IFERROR(H17/G17,0)</f>
        <v/>
      </c>
      <c r="K17" s="28">
        <f>IFERROR(I17/H17,0)</f>
        <v/>
      </c>
    </row>
    <row r="18" ht="15" customHeight="1" s="17">
      <c r="A18" s="29" t="n"/>
      <c r="B18" s="29" t="n"/>
      <c r="C18" s="29" t="n"/>
      <c r="D18" s="29" t="n"/>
      <c r="E18" s="29" t="n"/>
      <c r="F18" s="29" t="n"/>
      <c r="G18" s="29" t="n"/>
      <c r="H18" s="29" t="n"/>
      <c r="I18" s="29" t="n"/>
      <c r="J18" s="28">
        <f>IFERROR(H18/G18,0)</f>
        <v/>
      </c>
      <c r="K18" s="28">
        <f>IFERROR(I18/H18,0)</f>
        <v/>
      </c>
    </row>
    <row r="19" ht="15" customHeight="1" s="17">
      <c r="A19" s="29" t="n"/>
      <c r="B19" s="29" t="n"/>
      <c r="C19" s="29" t="n"/>
      <c r="D19" s="29" t="n"/>
      <c r="E19" s="29" t="n"/>
      <c r="F19" s="29" t="n"/>
      <c r="G19" s="29" t="n"/>
      <c r="H19" s="29" t="n"/>
      <c r="I19" s="29" t="n"/>
      <c r="J19" s="28">
        <f>IFERROR(H19/G19,0)</f>
        <v/>
      </c>
      <c r="K19" s="28">
        <f>IFERROR(I19/H19,0)</f>
        <v/>
      </c>
    </row>
    <row r="20" ht="15" customHeight="1" s="17">
      <c r="A20" s="30" t="n"/>
      <c r="B20" s="30" t="inlineStr">
        <is>
          <t>TOTAL</t>
        </is>
      </c>
      <c r="C20" s="30" t="n"/>
      <c r="D20" s="30" t="n"/>
      <c r="E20" s="30" t="n"/>
      <c r="F20" s="30" t="n"/>
      <c r="G20" s="30">
        <f>SUM(G4:G19)</f>
        <v/>
      </c>
      <c r="H20" s="30">
        <f>SUM(H4:H19)</f>
        <v/>
      </c>
      <c r="I20" s="30">
        <f>SUM(I4:I19)</f>
        <v/>
      </c>
      <c r="J20" s="31">
        <f>IFERROR(H20/G20,0)</f>
        <v/>
      </c>
      <c r="K20" s="31">
        <f>IFERROR(I20/H20,0)</f>
        <v/>
      </c>
    </row>
  </sheetData>
  <mergeCells count="1">
    <mergeCell ref="A1:J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0" min="1" max="1"/>
    <col width="22" customWidth="1" style="20" min="2" max="3"/>
    <col width="34" customWidth="1" style="20" min="4" max="4"/>
    <col width="12" customWidth="1" style="20" min="5" max="5"/>
    <col width="18" customWidth="1" style="20" min="6" max="6"/>
    <col width="16" customWidth="1" style="20" min="7" max="8"/>
  </cols>
  <sheetData>
    <row r="1" ht="17.35" customHeight="1" s="17">
      <c r="A1" s="21" t="inlineStr">
        <is>
          <t>App Store Funnel — one row per Custom Product Page / channel</t>
        </is>
      </c>
    </row>
    <row r="2">
      <c r="A2" s="20" t="inlineStr">
        <is>
          <t>Sample numbers removed 2026-09-09 — every row below is real or empty. Web UTM capture is NOT yet built in the app; fill Visits only once it is.</t>
        </is>
      </c>
    </row>
    <row r="3" ht="39.55" customHeight="1" s="17">
      <c r="A3" s="23" t="inlineStr">
        <is>
          <t>Week Of</t>
        </is>
      </c>
      <c r="B3" s="23" t="inlineStr">
        <is>
          <t>Source</t>
        </is>
      </c>
      <c r="C3" s="23" t="inlineStr">
        <is>
          <t>Custom Product Page Name</t>
        </is>
      </c>
      <c r="D3" s="23" t="inlineStr">
        <is>
          <t>Product Page URL</t>
        </is>
      </c>
      <c r="E3" s="23" t="inlineStr">
        <is>
          <t>Impressions</t>
        </is>
      </c>
      <c r="F3" s="23" t="inlineStr">
        <is>
          <t>Downloads (App Analytics)</t>
        </is>
      </c>
      <c r="G3" s="23" t="inlineStr">
        <is>
          <t>Trial Starts (RevenueCat)</t>
        </is>
      </c>
      <c r="H3" s="23" t="inlineStr">
        <is>
          <t>Paid Conversions (RevenueCat)</t>
        </is>
      </c>
    </row>
    <row r="4" ht="39.55" customHeight="1" s="17">
      <c r="A4" s="24" t="n"/>
      <c r="B4" s="24" t="n"/>
      <c r="C4" s="24" t="n"/>
      <c r="D4" s="24" t="n"/>
      <c r="E4" s="24" t="n"/>
      <c r="F4" s="24" t="n"/>
      <c r="G4" s="24" t="n"/>
      <c r="H4" s="24" t="n"/>
    </row>
    <row r="5" ht="15" customHeight="1" s="17">
      <c r="A5" s="29" t="n"/>
      <c r="B5" s="29" t="n"/>
      <c r="C5" s="29" t="n"/>
      <c r="D5" s="29" t="n"/>
      <c r="E5" s="29" t="n"/>
      <c r="F5" s="29" t="n"/>
      <c r="G5" s="29" t="n"/>
      <c r="H5" s="29" t="n"/>
    </row>
    <row r="6" ht="15" customHeight="1" s="17">
      <c r="A6" s="29" t="n"/>
      <c r="B6" s="29" t="n"/>
      <c r="C6" s="29" t="n"/>
      <c r="D6" s="29" t="n"/>
      <c r="E6" s="29" t="n"/>
      <c r="F6" s="29" t="n"/>
      <c r="G6" s="29" t="n"/>
      <c r="H6" s="29" t="n"/>
    </row>
    <row r="7" ht="15" customHeight="1" s="17">
      <c r="A7" s="29" t="n"/>
      <c r="B7" s="29" t="n"/>
      <c r="C7" s="29" t="n"/>
      <c r="D7" s="29" t="n"/>
      <c r="E7" s="29" t="n"/>
      <c r="F7" s="29" t="n"/>
      <c r="G7" s="29" t="n"/>
      <c r="H7" s="29" t="n"/>
    </row>
    <row r="8" ht="15" customHeight="1" s="17">
      <c r="A8" s="29" t="n"/>
      <c r="B8" s="29" t="n"/>
      <c r="C8" s="29" t="n"/>
      <c r="D8" s="29" t="n"/>
      <c r="E8" s="29" t="n"/>
      <c r="F8" s="29" t="n"/>
      <c r="G8" s="29" t="n"/>
      <c r="H8" s="29" t="n"/>
    </row>
    <row r="9" ht="15" customHeight="1" s="17">
      <c r="A9" s="29" t="n"/>
      <c r="B9" s="29" t="n"/>
      <c r="C9" s="29" t="n"/>
      <c r="D9" s="29" t="n"/>
      <c r="E9" s="29" t="n"/>
      <c r="F9" s="29" t="n"/>
      <c r="G9" s="29" t="n"/>
      <c r="H9" s="29" t="n"/>
    </row>
    <row r="10" ht="15" customHeight="1" s="17">
      <c r="A10" s="29" t="n"/>
      <c r="B10" s="29" t="n"/>
      <c r="C10" s="29" t="n"/>
      <c r="D10" s="29" t="n"/>
      <c r="E10" s="29" t="n"/>
      <c r="F10" s="29" t="n"/>
      <c r="G10" s="29" t="n"/>
      <c r="H10" s="29" t="n"/>
    </row>
    <row r="11" ht="15" customHeight="1" s="17">
      <c r="A11" s="29" t="n"/>
      <c r="B11" s="29" t="n"/>
      <c r="C11" s="29" t="n"/>
      <c r="D11" s="29" t="n"/>
      <c r="E11" s="29" t="n"/>
      <c r="F11" s="29" t="n"/>
      <c r="G11" s="29" t="n"/>
      <c r="H11" s="29" t="n"/>
    </row>
    <row r="12" ht="15" customHeight="1" s="17">
      <c r="A12" s="29" t="n"/>
      <c r="B12" s="29" t="n"/>
      <c r="C12" s="29" t="n"/>
      <c r="D12" s="29" t="n"/>
      <c r="E12" s="29" t="n"/>
      <c r="F12" s="29" t="n"/>
      <c r="G12" s="29" t="n"/>
      <c r="H12" s="29" t="n"/>
    </row>
    <row r="13" ht="15" customHeight="1" s="17">
      <c r="A13" s="29" t="n"/>
      <c r="B13" s="29" t="n"/>
      <c r="C13" s="29" t="n"/>
      <c r="D13" s="29" t="n"/>
      <c r="E13" s="29" t="n"/>
      <c r="F13" s="29" t="n"/>
      <c r="G13" s="29" t="n"/>
      <c r="H13" s="29" t="n"/>
    </row>
    <row r="14" ht="15" customHeight="1" s="17">
      <c r="A14" s="29" t="n"/>
      <c r="B14" s="29" t="n"/>
      <c r="C14" s="29" t="n"/>
      <c r="D14" s="29" t="n"/>
      <c r="E14" s="29" t="n"/>
      <c r="F14" s="29" t="n"/>
      <c r="G14" s="29" t="n"/>
      <c r="H14" s="29" t="n"/>
    </row>
    <row r="15" ht="15" customHeight="1" s="17">
      <c r="A15" s="29" t="n"/>
      <c r="B15" s="29" t="n"/>
      <c r="C15" s="29" t="n"/>
      <c r="D15" s="29" t="n"/>
      <c r="E15" s="29" t="n"/>
      <c r="F15" s="29" t="n"/>
      <c r="G15" s="29" t="n"/>
      <c r="H15" s="29" t="n"/>
    </row>
    <row r="16" ht="15" customHeight="1" s="17">
      <c r="A16" s="29" t="n"/>
      <c r="B16" s="29" t="n"/>
      <c r="C16" s="29" t="n"/>
      <c r="D16" s="29" t="n"/>
      <c r="E16" s="29" t="n"/>
      <c r="F16" s="29" t="n"/>
      <c r="G16" s="29" t="n"/>
      <c r="H16" s="29" t="n"/>
    </row>
    <row r="17" ht="15" customHeight="1" s="17">
      <c r="A17" s="29" t="n"/>
      <c r="B17" s="29" t="n"/>
      <c r="C17" s="29" t="n"/>
      <c r="D17" s="29" t="n"/>
      <c r="E17" s="29" t="n"/>
      <c r="F17" s="29" t="n"/>
      <c r="G17" s="29" t="n"/>
      <c r="H17" s="29" t="n"/>
    </row>
    <row r="18" ht="15" customHeight="1" s="17">
      <c r="A18" s="29" t="n"/>
      <c r="B18" s="29" t="n"/>
      <c r="C18" s="29" t="n"/>
      <c r="D18" s="29" t="n"/>
      <c r="E18" s="29" t="n"/>
      <c r="F18" s="29" t="n"/>
      <c r="G18" s="29" t="n"/>
      <c r="H18" s="29" t="n"/>
    </row>
    <row r="19" ht="15" customHeight="1" s="17">
      <c r="A19" s="29" t="n"/>
      <c r="B19" s="29" t="n"/>
      <c r="C19" s="29" t="n"/>
      <c r="D19" s="29" t="n"/>
      <c r="E19" s="29" t="n"/>
      <c r="F19" s="29" t="n"/>
      <c r="G19" s="29" t="n"/>
      <c r="H19" s="29" t="n"/>
    </row>
    <row r="20" ht="15" customHeight="1" s="17">
      <c r="A20" s="30" t="n"/>
      <c r="B20" s="30" t="inlineStr">
        <is>
          <t>TOTAL</t>
        </is>
      </c>
      <c r="C20" s="30" t="n"/>
      <c r="D20" s="30" t="n"/>
      <c r="E20" s="30">
        <f>SUM(E4:E19)</f>
        <v/>
      </c>
      <c r="F20" s="30">
        <f>SUM(F4:F19)</f>
        <v/>
      </c>
      <c r="G20" s="30">
        <f>SUM(G4:G19)</f>
        <v/>
      </c>
      <c r="H20" s="30">
        <f>SUM(H4:H19)</f>
        <v/>
      </c>
    </row>
    <row r="22" ht="30" customHeight="1" s="17">
      <c r="A22" s="22" t="inlineStr">
        <is>
          <t>Note: Custom Product Pages are set up in App Store Connect (free, native). Impressions/downloads come from App Analytics; match Trial Starts/Conversions from RevenueCat by date range since Apple doesn't pass UTM-level attribution automatically.</t>
        </is>
      </c>
    </row>
  </sheetData>
  <mergeCells count="2">
    <mergeCell ref="A22:H2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0" min="1" max="1"/>
    <col width="16" customWidth="1" style="20" min="2" max="2"/>
    <col width="18" customWidth="1" style="20" min="3" max="3"/>
    <col width="16" customWidth="1" style="20" min="4" max="4"/>
    <col width="14" customWidth="1" style="20" min="5" max="5"/>
  </cols>
  <sheetData>
    <row r="1" ht="17.35" customHeight="1" s="17">
      <c r="A1" s="21" t="inlineStr">
        <is>
          <t>Progress to 100 Paid Subscribers (Witness) by Dec 31, 2026</t>
        </is>
      </c>
    </row>
    <row r="3" ht="26.85" customHeight="1" s="17">
      <c r="A3" s="23" t="inlineStr">
        <is>
          <t>Week Of</t>
        </is>
      </c>
      <c r="B3" s="23" t="inlineStr">
        <is>
          <t>New Paid (Web)</t>
        </is>
      </c>
      <c r="C3" s="23" t="inlineStr">
        <is>
          <t>New Paid (App Store)</t>
        </is>
      </c>
      <c r="D3" s="23" t="inlineStr">
        <is>
          <t>Cumulative Paid</t>
        </is>
      </c>
      <c r="E3" s="23" t="inlineStr">
        <is>
          <t>% to Goal (100)</t>
        </is>
      </c>
    </row>
    <row r="4" ht="15" customHeight="1" s="17">
      <c r="A4" s="29" t="inlineStr">
        <is>
          <t>2026-09-14</t>
        </is>
      </c>
      <c r="B4" s="32">
        <f>'Web Funnel Tracker'!I4</f>
        <v/>
      </c>
      <c r="C4" s="32">
        <f>'App Store Funnel Tracker'!H4</f>
        <v/>
      </c>
      <c r="D4" s="33">
        <f>SUM(B4:C4)</f>
        <v/>
      </c>
      <c r="E4" s="34">
        <f>D4/100</f>
        <v/>
      </c>
    </row>
    <row r="5" ht="15" customHeight="1" s="17">
      <c r="A5" s="29" t="n"/>
      <c r="B5" s="32">
        <f>'Web Funnel Tracker'!I5</f>
        <v/>
      </c>
      <c r="C5" s="32">
        <f>'App Store Funnel Tracker'!H5</f>
        <v/>
      </c>
      <c r="D5" s="33">
        <f>SUM(B5:C5)+D4</f>
        <v/>
      </c>
      <c r="E5" s="34">
        <f>D5/100</f>
        <v/>
      </c>
    </row>
    <row r="6" ht="15" customHeight="1" s="17">
      <c r="A6" s="29" t="n"/>
      <c r="B6" s="32">
        <f>'Web Funnel Tracker'!I6</f>
        <v/>
      </c>
      <c r="C6" s="32">
        <f>'App Store Funnel Tracker'!H6</f>
        <v/>
      </c>
      <c r="D6" s="33">
        <f>SUM(B6:C6)+D5</f>
        <v/>
      </c>
      <c r="E6" s="34">
        <f>D6/100</f>
        <v/>
      </c>
    </row>
    <row r="7" ht="15" customHeight="1" s="17">
      <c r="A7" s="29" t="n"/>
      <c r="B7" s="32">
        <f>'Web Funnel Tracker'!I7</f>
        <v/>
      </c>
      <c r="C7" s="32">
        <f>'App Store Funnel Tracker'!H7</f>
        <v/>
      </c>
      <c r="D7" s="33">
        <f>SUM(B7:C7)+D6</f>
        <v/>
      </c>
      <c r="E7" s="34">
        <f>D7/100</f>
        <v/>
      </c>
    </row>
    <row r="8" ht="15" customHeight="1" s="17">
      <c r="A8" s="29" t="n"/>
      <c r="B8" s="32">
        <f>'Web Funnel Tracker'!I8</f>
        <v/>
      </c>
      <c r="C8" s="32">
        <f>'App Store Funnel Tracker'!H8</f>
        <v/>
      </c>
      <c r="D8" s="33">
        <f>SUM(B8:C8)+D7</f>
        <v/>
      </c>
      <c r="E8" s="34">
        <f>D8/100</f>
        <v/>
      </c>
    </row>
    <row r="9" ht="15" customHeight="1" s="17">
      <c r="A9" s="29" t="n"/>
      <c r="B9" s="32">
        <f>'Web Funnel Tracker'!I9</f>
        <v/>
      </c>
      <c r="C9" s="32">
        <f>'App Store Funnel Tracker'!H9</f>
        <v/>
      </c>
      <c r="D9" s="33">
        <f>SUM(B9:C9)+D8</f>
        <v/>
      </c>
      <c r="E9" s="34">
        <f>D9/100</f>
        <v/>
      </c>
    </row>
    <row r="10" ht="15" customHeight="1" s="17">
      <c r="A10" s="29" t="n"/>
      <c r="B10" s="32">
        <f>'Web Funnel Tracker'!I10</f>
        <v/>
      </c>
      <c r="C10" s="32">
        <f>'App Store Funnel Tracker'!H10</f>
        <v/>
      </c>
      <c r="D10" s="33">
        <f>SUM(B10:C10)+D9</f>
        <v/>
      </c>
      <c r="E10" s="34">
        <f>D10/100</f>
        <v/>
      </c>
    </row>
    <row r="11" ht="15" customHeight="1" s="17">
      <c r="A11" s="29" t="n"/>
      <c r="B11" s="32">
        <f>'Web Funnel Tracker'!I11</f>
        <v/>
      </c>
      <c r="C11" s="32">
        <f>'App Store Funnel Tracker'!H11</f>
        <v/>
      </c>
      <c r="D11" s="33">
        <f>SUM(B11:C11)+D10</f>
        <v/>
      </c>
      <c r="E11" s="34">
        <f>D11/100</f>
        <v/>
      </c>
    </row>
    <row r="12" ht="15" customHeight="1" s="17">
      <c r="A12" s="29" t="n"/>
      <c r="B12" s="32">
        <f>'Web Funnel Tracker'!I12</f>
        <v/>
      </c>
      <c r="C12" s="32">
        <f>'App Store Funnel Tracker'!H12</f>
        <v/>
      </c>
      <c r="D12" s="33">
        <f>SUM(B12:C12)+D11</f>
        <v/>
      </c>
      <c r="E12" s="34">
        <f>D12/100</f>
        <v/>
      </c>
    </row>
    <row r="13" ht="15" customHeight="1" s="17">
      <c r="A13" s="29" t="n"/>
      <c r="B13" s="32">
        <f>'Web Funnel Tracker'!I13</f>
        <v/>
      </c>
      <c r="C13" s="32">
        <f>'App Store Funnel Tracker'!H13</f>
        <v/>
      </c>
      <c r="D13" s="33">
        <f>SUM(B13:C13)+D12</f>
        <v/>
      </c>
      <c r="E13" s="34">
        <f>D13/100</f>
        <v/>
      </c>
    </row>
    <row r="14" ht="15" customHeight="1" s="17">
      <c r="A14" s="29" t="n"/>
      <c r="B14" s="32">
        <f>'Web Funnel Tracker'!I14</f>
        <v/>
      </c>
      <c r="C14" s="32">
        <f>'App Store Funnel Tracker'!H14</f>
        <v/>
      </c>
      <c r="D14" s="33">
        <f>SUM(B14:C14)+D13</f>
        <v/>
      </c>
      <c r="E14" s="34">
        <f>D14/100</f>
        <v/>
      </c>
    </row>
    <row r="15" ht="15" customHeight="1" s="17">
      <c r="A15" s="29" t="n"/>
      <c r="B15" s="32">
        <f>'Web Funnel Tracker'!I15</f>
        <v/>
      </c>
      <c r="C15" s="32">
        <f>'App Store Funnel Tracker'!H15</f>
        <v/>
      </c>
      <c r="D15" s="33">
        <f>SUM(B15:C15)+D14</f>
        <v/>
      </c>
      <c r="E15" s="34">
        <f>D15/100</f>
        <v/>
      </c>
    </row>
    <row r="16" ht="15" customHeight="1" s="17">
      <c r="A16" s="29" t="n"/>
      <c r="B16" s="32">
        <f>'Web Funnel Tracker'!I16</f>
        <v/>
      </c>
      <c r="C16" s="32">
        <f>'App Store Funnel Tracker'!H16</f>
        <v/>
      </c>
      <c r="D16" s="33">
        <f>SUM(B16:C16)+D15</f>
        <v/>
      </c>
      <c r="E16" s="34">
        <f>D16/100</f>
        <v/>
      </c>
    </row>
    <row r="17" ht="15" customHeight="1" s="17">
      <c r="A17" s="29" t="n"/>
      <c r="B17" s="32">
        <f>'Web Funnel Tracker'!I17</f>
        <v/>
      </c>
      <c r="C17" s="32">
        <f>'App Store Funnel Tracker'!H17</f>
        <v/>
      </c>
      <c r="D17" s="33">
        <f>SUM(B17:C17)+D16</f>
        <v/>
      </c>
      <c r="E17" s="34">
        <f>D17/100</f>
        <v/>
      </c>
    </row>
    <row r="18" ht="15" customHeight="1" s="17">
      <c r="A18" s="29" t="n"/>
      <c r="B18" s="32">
        <f>'Web Funnel Tracker'!I18</f>
        <v/>
      </c>
      <c r="C18" s="32">
        <f>'App Store Funnel Tracker'!H18</f>
        <v/>
      </c>
      <c r="D18" s="33">
        <f>SUM(B18:C18)+D17</f>
        <v/>
      </c>
      <c r="E18" s="34">
        <f>D18/100</f>
        <v/>
      </c>
    </row>
    <row r="19" ht="15" customHeight="1" s="17">
      <c r="A19" s="29" t="n"/>
      <c r="B19" s="32">
        <f>'Web Funnel Tracker'!I19</f>
        <v/>
      </c>
      <c r="C19" s="32">
        <f>'App Store Funnel Tracker'!H19</f>
        <v/>
      </c>
      <c r="D19" s="33">
        <f>SUM(B19:C19)+D18</f>
        <v/>
      </c>
      <c r="E19" s="34">
        <f>D19/100</f>
        <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2026-09-08T00:15:13Z</dcterms:created>
  <dcterms:modified xsi:type="dcterms:W3CDTF">2026-09-09T19:53:27Z</dcterms:modified>
  <cp:revision>0</cp:revision>
</cp:coreProperties>
</file>